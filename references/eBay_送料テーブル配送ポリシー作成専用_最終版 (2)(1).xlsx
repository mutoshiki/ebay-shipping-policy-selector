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d47a6df02f4e9b" /></Relationships>
</file>

<file path=xl/workbook.xml><?xml version="1.0" encoding="utf-8"?>
<x:workbook xmlns:x="http://schemas.openxmlformats.org/spreadsheetml/2006/main">
  <x:sheets>
    <x:sheet xmlns:r="http://schemas.openxmlformats.org/officeDocument/2006/relationships" name="操作サマリー" sheetId="1" r:id="Ra4006f1364a942a9"/>
    <x:sheet xmlns:r="http://schemas.openxmlformats.org/officeDocument/2006/relationships" name="国際料金テーブル" sheetId="2" r:id="Rdedbbacf880943a7"/>
    <x:sheet xmlns:r="http://schemas.openxmlformats.org/officeDocument/2006/relationships" name="国別確認" sheetId="3" r:id="R604127ea2c874fed"/>
    <x:sheet xmlns:r="http://schemas.openxmlformats.org/officeDocument/2006/relationships" name="移行対応" sheetId="4" r:id="Re077d5d9bcd14df9"/>
    <x:sheet xmlns:r="http://schemas.openxmlformats.org/officeDocument/2006/relationships" name="設定・注意" sheetId="5" r:id="R5e88a21b806b4ec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0.00"/>
    <x:numFmt numFmtId="203" formatCode="0"/>
  </x:numFmts>
  <x:fonts count="7">
    <x:font>
      <x:sz val="11"/>
      <x:name val="Carlito"/>
    </x:font>
    <x:font>
      <x:b/>
      <x:sz val="14"/>
      <x:color rgb="FFFFFFFF"/>
      <x:name val="Carlito"/>
    </x:font>
    <x:font>
      <x:b/>
      <x:sz val="11"/>
      <x:color rgb="FFFFFFFF"/>
      <x:name val="Carlito"/>
    </x:font>
    <x:font>
      <x:b/>
      <x:sz val="13"/>
      <x:color rgb="FFFFFFFF"/>
      <x:name val="Carlito"/>
    </x:font>
    <x:font>
      <x:b/>
      <x:sz val="11"/>
      <x:color rgb="FF1F1F1F"/>
      <x:name val="Carlito"/>
    </x:font>
    <x:font>
      <x:b/>
      <x:sz val="11"/>
      <x:name val="Carlito"/>
    </x:font>
    <x:font>
      <x:b/>
      <x:sz val="11"/>
      <x:color rgb="FF991B1B"/>
      <x:name val="Carlito"/>
    </x:font>
  </x:fonts>
  <x:fills count="9">
    <x:fill>
      <x:patternFill patternType="none"/>
    </x:fill>
    <x:fill>
      <x:patternFill patternType="gray125"/>
    </x:fill>
    <x:fill>
      <x:patternFill patternType="solid">
        <x:fgColor rgb="FF0F766E"/>
      </x:patternFill>
    </x:fill>
    <x:fill>
      <x:patternFill patternType="solid">
        <x:fgColor rgb="FF1F4E78"/>
      </x:patternFill>
    </x:fill>
    <x:fill>
      <x:patternFill patternType="solid">
        <x:fgColor rgb="FF7C3AED"/>
      </x:patternFill>
    </x:fill>
    <x:fill>
      <x:patternFill patternType="solid">
        <x:fgColor rgb="FFD9EAF7"/>
      </x:patternFill>
    </x:fill>
    <x:fill>
      <x:patternFill patternType="solid">
        <x:fgColor rgb="FF92400E"/>
      </x:patternFill>
    </x:fill>
    <x:fill>
      <x:patternFill patternType="solid">
        <x:fgColor rgb="FFFDE68A"/>
      </x:patternFill>
    </x:fill>
    <x:fill>
      <x:patternFill patternType="solid">
        <x:fgColor rgb="FFFEE2E2"/>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2" fillId="3"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1"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4" fillId="5" borderId="0" xfId="0" applyNumberFormat="1" applyFont="1" applyFill="1" applyBorder="1" applyAlignment="1">
      <x:alignment horizontal="center"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left"/>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left"/>
    </x:xf>
    <x:xf numFmtId="0" fontId="6" fillId="8" borderId="0" xfId="0" applyNumberFormat="1" applyFont="1" applyFill="1" applyBorder="1" applyAlignment="1">
      <x:alignment horizontal="left" vertical="center"/>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b9e947c07c41f6" /><Relationship Type="http://schemas.openxmlformats.org/officeDocument/2006/relationships/theme" Target="/xl/theme/theme1.xml" Id="Rc715559248f243bc" /><Relationship Type="http://schemas.openxmlformats.org/officeDocument/2006/relationships/sharedStrings" Target="/xl/sharedStrings.xml" Id="R3be39da336fa4d18" /><Relationship Type="http://schemas.openxmlformats.org/officeDocument/2006/relationships/worksheet" Target="/xl/worksheets/sheet1.xml" Id="Ra4006f1364a942a9" /><Relationship Type="http://schemas.openxmlformats.org/officeDocument/2006/relationships/worksheet" Target="/xl/worksheets/sheet2.xml" Id="Rdedbbacf880943a7" /><Relationship Type="http://schemas.openxmlformats.org/officeDocument/2006/relationships/worksheet" Target="/xl/worksheets/sheet3.xml" Id="R604127ea2c874fed" /><Relationship Type="http://schemas.openxmlformats.org/officeDocument/2006/relationships/worksheet" Target="/xl/worksheets/sheet4.xml" Id="Re077d5d9bcd14df9" /><Relationship Type="http://schemas.openxmlformats.org/officeDocument/2006/relationships/worksheet" Target="/xl/worksheets/sheet5.xml" Id="R5e88a21b806b4ec2" /></Relationships>
</file>

<file path=xl/tables/table1.xml><?xml version="1.0" encoding="utf-8"?>
<x:table xmlns:x="http://schemas.openxmlformats.org/spreadsheetml/2006/main" id="1" name="PolicySummaryTable" displayName="PolicySummaryTable" ref="A3:J13" headerRowCount="1">
  <x:tableColumns count="10">
    <x:tableColumn id="1" name="重量"/>
    <x:tableColumn id="2" name="新配送ポリシー名"/>
    <x:tableColumn id="3" name="新国際料金テーブル名"/>
    <x:tableColumn id="4" name="国内サービス"/>
    <x:tableColumn id="5" name="米国円額"/>
    <x:tableColumn id="6" name="米国入力USD"/>
    <x:tableColumn id="7" name="国際基本サービス"/>
    <x:tableColumn id="8" name="国際基本料金USD"/>
    <x:tableColumn id="9" name="発送準備期間"/>
    <x:tableColumn id="10" name="確認"/>
  </x:tableColumns>
  <x:tableStyleInfo name="TableStyleMedium2" showRowStripes="1"/>
</x:table>
</file>

<file path=xl/tables/table2.xml><?xml version="1.0" encoding="utf-8"?>
<x:table xmlns:x="http://schemas.openxmlformats.org/spreadsheetml/2006/main" id="2" name="InternationalRateInputTable" displayName="InternationalRateInputTable" ref="A3:H83" headerRowCount="1">
  <x:tableColumns count="8">
    <x:tableColumn id="1" name="重量"/>
    <x:tableColumn id="2" name="行ID"/>
    <x:tableColumn id="3" name="料金テーブル内の区分"/>
    <x:tableColumn id="4" name="選択サービス"/>
    <x:tableColumn id="5" name="円額"/>
    <x:tableColumn id="6" name="入力USD"/>
    <x:tableColumn id="7" name="eBayで選択する地域・国"/>
    <x:tableColumn id="8" name="入力メモ"/>
  </x:tableColumns>
  <x:tableStyleInfo name="TableStyleMedium2" showRowStripes="1"/>
</x:table>
</file>

<file path=xl/tables/table3.xml><?xml version="1.0" encoding="utf-8"?>
<x:table xmlns:x="http://schemas.openxmlformats.org/spreadsheetml/2006/main" id="3" name="CountryCheckTable" displayName="CountryCheckTable" ref="A3:H221" headerRowCount="1">
  <x:tableColumns count="8">
    <x:tableColumn id="1" name="eBay地域"/>
    <x:tableColumn id="2" name="eBay国名"/>
    <x:tableColumn id="3" name="使用区分"/>
    <x:tableColumn id="4" name="実発送"/>
    <x:tableColumn id="5" name="100g円額"/>
    <x:tableColumn id="6" name="100g USD"/>
    <x:tableColumn id="7" name="1000g円額"/>
    <x:tableColumn id="8" name="1000g USD"/>
  </x:tableColumns>
  <x:tableStyleInfo name="TableStyleMedium2" showRowStripes="1"/>
</x:table>
</file>

<file path=xl/tables/table4.xml><?xml version="1.0" encoding="utf-8"?>
<x:table xmlns:x="http://schemas.openxmlformats.org/spreadsheetml/2006/main" id="4" name="MigrationTable" displayName="MigrationTable" ref="A3:F13" headerRowCount="1">
  <x:tableColumns count="6">
    <x:tableColumn id="1" name="旧重量区分"/>
    <x:tableColumn id="2" name="新配送ポリシー"/>
    <x:tableColumn id="3" name="移行前件数"/>
    <x:tableColumn id="4" name="移行後件数"/>
    <x:tableColumn id="5" name="旧ポリシー利用数"/>
    <x:tableColumn id="6" name="状態"/>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602686c80f34253" /></Relationships>
</file>

<file path=xl/worksheets/_rels/sheet2.xml.rels>&#65279;<?xml version="1.0" encoding="utf-8"?><Relationships xmlns="http://schemas.openxmlformats.org/package/2006/relationships"><Relationship Type="http://schemas.openxmlformats.org/officeDocument/2006/relationships/table" Target="/xl/tables/table2.xml" Id="Rbeba89fe34cc4145" /></Relationships>
</file>

<file path=xl/worksheets/_rels/sheet3.xml.rels>&#65279;<?xml version="1.0" encoding="utf-8"?><Relationships xmlns="http://schemas.openxmlformats.org/package/2006/relationships"><Relationship Type="http://schemas.openxmlformats.org/officeDocument/2006/relationships/table" Target="/xl/tables/table3.xml" Id="R153bb2a61cb04298" /></Relationships>
</file>

<file path=xl/worksheets/_rels/sheet4.xml.rels>&#65279;<?xml version="1.0" encoding="utf-8"?><Relationships xmlns="http://schemas.openxmlformats.org/package/2006/relationships"><Relationship Type="http://schemas.openxmlformats.org/officeDocument/2006/relationships/table" Target="/xl/tables/table4.xml" Id="R1c487331db64473e" /></Relationships>
</file>

<file path=xl/worksheets/sheet1.xml><?xml version="1.0" encoding="utf-8"?>
<x:worksheet xmlns:x="http://schemas.openxmlformats.org/spreadsheetml/2006/main">
  <x:sheetFormatPr defaultRowHeight="15"/>
  <x:cols>
    <x:col min="1" max="1" width="10" hidden="0" customWidth="1"/>
    <x:col min="2" max="2" width="22" hidden="0" customWidth="1"/>
    <x:col min="3" max="3" width="28" hidden="0" customWidth="1"/>
    <x:col min="4" max="4" width="26" hidden="0" customWidth="1"/>
    <x:col min="5" max="5" width="12" hidden="0" customWidth="1"/>
    <x:col min="6" max="6" width="12" hidden="0" customWidth="1"/>
    <x:col min="7" max="7" width="30" hidden="0" customWidth="1"/>
    <x:col min="8" max="8" width="16" hidden="0" customWidth="1"/>
    <x:col min="9" max="9" width="14" hidden="0" customWidth="1"/>
    <x:col min="10" max="10" width="12" hidden="0" customWidth="1"/>
  </x:cols>
  <x:sheetData>
    <x:row r="1">
      <x:c r="A1" s="5" t="str">
        <x:v>Codex入力用：重量別ポリシー・料金テーブル一覧</x:v>
      </x:c>
      <x:c r="B1" s="5"/>
      <x:c r="C1" s="5"/>
      <x:c r="D1" s="5"/>
      <x:c r="E1" s="5"/>
      <x:c r="F1" s="5"/>
      <x:c r="G1" s="5"/>
      <x:c r="H1" s="5"/>
      <x:c r="I1" s="5"/>
      <x:c r="J1" s="5"/>
    </x:row>
    <x:row r="3">
      <x:c r="A3" s="28" t="str">
        <x:v>重量</x:v>
      </x:c>
      <x:c r="B3" s="28" t="str">
        <x:v>新配送ポリシー名</x:v>
      </x:c>
      <x:c r="C3" s="28" t="str">
        <x:v>新国際料金テーブル名</x:v>
      </x:c>
      <x:c r="D3" s="28" t="str">
        <x:v>国内サービス</x:v>
      </x:c>
      <x:c r="E3" s="28" t="str">
        <x:v>米国円額</x:v>
      </x:c>
      <x:c r="F3" s="28" t="str">
        <x:v>米国入力USD</x:v>
      </x:c>
      <x:c r="G3" s="28" t="str">
        <x:v>国際基本サービス</x:v>
      </x:c>
      <x:c r="H3" s="28" t="str">
        <x:v>国際基本料金USD</x:v>
      </x:c>
      <x:c r="I3" s="28" t="str">
        <x:v>発送準備期間</x:v>
      </x:c>
      <x:c r="J3" s="28" t="str">
        <x:v>確認</x:v>
      </x:c>
    </x:row>
    <x:row r="4">
      <x:c r="A4" s="29" t="str">
        <x:v>100g</x:v>
      </x:c>
      <x:c r="B4" s="29" t="str">
        <x:v>CAM0100G-V3</x:v>
      </x:c>
      <x:c r="C4" s="29" t="str">
        <x:v>INT-AP-SPK-0100G-V3</x:v>
      </x:c>
      <x:c r="D4" s="29" t="str">
        <x:v>eBay SpeedPAK Economy</x:v>
      </x:c>
      <x:c r="E4" s="30" t="n">
        <x:v>2400</x:v>
      </x:c>
      <x:c r="F4" s="31" t="n">
        <x:f>ROUNDUP(E4/'設定・注意'!$B$4,0)-0.01</x:f>
        <x:v>16.99</x:v>
      </x:c>
      <x:c r="G4" s="31" t="str">
        <x:v>Economy International Shipping</x:v>
      </x:c>
      <x:c r="H4" s="31" t="n">
        <x:f>MAXIFS('国際料金テーブル'!$F:$F,'国際料金テーブル'!$A:$A,A4)</x:f>
        <x:v>17.99</x:v>
      </x:c>
      <x:c r="I4" s="32" t="n">
        <x:v>3</x:v>
      </x:c>
      <x:c r="J4" s="29" t="str">
        <x:v>未作成</x:v>
      </x:c>
    </x:row>
    <x:row r="5">
      <x:c r="A5" s="29" t="str">
        <x:v>200g</x:v>
      </x:c>
      <x:c r="B5" s="29" t="str">
        <x:v>CAM0200G-V3</x:v>
      </x:c>
      <x:c r="C5" s="29" t="str">
        <x:v>INT-AP-SPK-0200G-V3</x:v>
      </x:c>
      <x:c r="D5" s="29" t="str">
        <x:v>eBay SpeedPAK Economy</x:v>
      </x:c>
      <x:c r="E5" s="30" t="n">
        <x:v>2600</x:v>
      </x:c>
      <x:c r="F5" s="31" t="n">
        <x:f>ROUNDUP(E5/'設定・注意'!$B$4,0)-0.01</x:f>
        <x:v>17.99</x:v>
      </x:c>
      <x:c r="G5" s="31" t="str">
        <x:v>Economy International Shipping</x:v>
      </x:c>
      <x:c r="H5" s="31" t="n">
        <x:f>MAXIFS('国際料金テーブル'!$F:$F,'国際料金テーブル'!$A:$A,A5)</x:f>
        <x:v>19.99</x:v>
      </x:c>
      <x:c r="I5" s="32" t="n">
        <x:v>3</x:v>
      </x:c>
      <x:c r="J5" s="29" t="str">
        <x:v>未作成</x:v>
      </x:c>
    </x:row>
    <x:row r="6">
      <x:c r="A6" s="29" t="str">
        <x:v>300g</x:v>
      </x:c>
      <x:c r="B6" s="29" t="str">
        <x:v>CAM0300G-V3</x:v>
      </x:c>
      <x:c r="C6" s="29" t="str">
        <x:v>INT-AP-SPK-0300G-V3</x:v>
      </x:c>
      <x:c r="D6" s="29" t="str">
        <x:v>eBay SpeedPAK Economy</x:v>
      </x:c>
      <x:c r="E6" s="30" t="n">
        <x:v>2900</x:v>
      </x:c>
      <x:c r="F6" s="31" t="n">
        <x:f>ROUNDUP(E6/'設定・注意'!$B$4,0)-0.01</x:f>
        <x:v>19.99</x:v>
      </x:c>
      <x:c r="G6" s="31" t="str">
        <x:v>Economy International Shipping</x:v>
      </x:c>
      <x:c r="H6" s="31" t="n">
        <x:f>MAXIFS('国際料金テーブル'!$F:$F,'国際料金テーブル'!$A:$A,A6)</x:f>
        <x:v>22.99</x:v>
      </x:c>
      <x:c r="I6" s="32" t="n">
        <x:v>3</x:v>
      </x:c>
      <x:c r="J6" s="29" t="str">
        <x:v>未作成</x:v>
      </x:c>
    </x:row>
    <x:row r="7">
      <x:c r="A7" s="29" t="str">
        <x:v>400g</x:v>
      </x:c>
      <x:c r="B7" s="29" t="str">
        <x:v>CAM0400G-V3</x:v>
      </x:c>
      <x:c r="C7" s="29" t="str">
        <x:v>INT-AP-SPK-0400G-V3</x:v>
      </x:c>
      <x:c r="D7" s="29" t="str">
        <x:v>eBay SpeedPAK Economy</x:v>
      </x:c>
      <x:c r="E7" s="30" t="n">
        <x:v>3200</x:v>
      </x:c>
      <x:c r="F7" s="31" t="n">
        <x:f>ROUNDUP(E7/'設定・注意'!$B$4,0)-0.01</x:f>
        <x:v>22.99</x:v>
      </x:c>
      <x:c r="G7" s="31" t="str">
        <x:v>Economy International Shipping</x:v>
      </x:c>
      <x:c r="H7" s="31" t="n">
        <x:f>MAXIFS('国際料金テーブル'!$F:$F,'国際料金テーブル'!$A:$A,A7)</x:f>
        <x:v>23.99</x:v>
      </x:c>
      <x:c r="I7" s="32" t="n">
        <x:v>3</x:v>
      </x:c>
      <x:c r="J7" s="29" t="str">
        <x:v>未作成</x:v>
      </x:c>
    </x:row>
    <x:row r="8">
      <x:c r="A8" s="29" t="str">
        <x:v>500g</x:v>
      </x:c>
      <x:c r="B8" s="29" t="str">
        <x:v>CAM0500G-V3</x:v>
      </x:c>
      <x:c r="C8" s="29" t="str">
        <x:v>INT-AP-SPK-0500G-V3</x:v>
      </x:c>
      <x:c r="D8" s="29" t="str">
        <x:v>eBay SpeedPAK Economy</x:v>
      </x:c>
      <x:c r="E8" s="30" t="n">
        <x:v>3500</x:v>
      </x:c>
      <x:c r="F8" s="31" t="n">
        <x:f>ROUNDUP(E8/'設定・注意'!$B$4,0)-0.01</x:f>
        <x:v>24.99</x:v>
      </x:c>
      <x:c r="G8" s="31" t="str">
        <x:v>Economy International Shipping</x:v>
      </x:c>
      <x:c r="H8" s="31" t="n">
        <x:f>MAXIFS('国際料金テーブル'!$F:$F,'国際料金テーブル'!$A:$A,A8)</x:f>
        <x:v>26.99</x:v>
      </x:c>
      <x:c r="I8" s="32" t="n">
        <x:v>3</x:v>
      </x:c>
      <x:c r="J8" s="29" t="str">
        <x:v>未作成</x:v>
      </x:c>
    </x:row>
    <x:row r="9">
      <x:c r="A9" s="29" t="str">
        <x:v>600g</x:v>
      </x:c>
      <x:c r="B9" s="29" t="str">
        <x:v>CAM0600G-V3</x:v>
      </x:c>
      <x:c r="C9" s="29" t="str">
        <x:v>INT-AP-SPK-0600G-V3</x:v>
      </x:c>
      <x:c r="D9" s="29" t="str">
        <x:v>eBay SpeedPAK Economy</x:v>
      </x:c>
      <x:c r="E9" s="30" t="n">
        <x:v>3800</x:v>
      </x:c>
      <x:c r="F9" s="31" t="n">
        <x:f>ROUNDUP(E9/'設定・注意'!$B$4,0)-0.01</x:f>
        <x:v>26.99</x:v>
      </x:c>
      <x:c r="G9" s="31" t="str">
        <x:v>Economy International Shipping</x:v>
      </x:c>
      <x:c r="H9" s="31" t="n">
        <x:f>MAXIFS('国際料金テーブル'!$F:$F,'国際料金テーブル'!$A:$A,A9)</x:f>
        <x:v>28.99</x:v>
      </x:c>
      <x:c r="I9" s="32" t="n">
        <x:v>3</x:v>
      </x:c>
      <x:c r="J9" s="29" t="str">
        <x:v>未作成</x:v>
      </x:c>
    </x:row>
    <x:row r="10">
      <x:c r="A10" s="29" t="str">
        <x:v>700g</x:v>
      </x:c>
      <x:c r="B10" s="29" t="str">
        <x:v>CAM0700G-V3</x:v>
      </x:c>
      <x:c r="C10" s="29" t="str">
        <x:v>INT-AP-SPK-0700G-V3</x:v>
      </x:c>
      <x:c r="D10" s="29" t="str">
        <x:v>eBay SpeedPAK Economy</x:v>
      </x:c>
      <x:c r="E10" s="30" t="n">
        <x:v>3900</x:v>
      </x:c>
      <x:c r="F10" s="31" t="n">
        <x:f>ROUNDUP(E10/'設定・注意'!$B$4,0)-0.01</x:f>
        <x:v>26.99</x:v>
      </x:c>
      <x:c r="G10" s="31" t="str">
        <x:v>Economy International Shipping</x:v>
      </x:c>
      <x:c r="H10" s="31" t="n">
        <x:f>MAXIFS('国際料金テーブル'!$F:$F,'国際料金テーブル'!$A:$A,A10)</x:f>
        <x:v>30.99</x:v>
      </x:c>
      <x:c r="I10" s="32" t="n">
        <x:v>3</x:v>
      </x:c>
      <x:c r="J10" s="29" t="str">
        <x:v>未作成</x:v>
      </x:c>
    </x:row>
    <x:row r="11">
      <x:c r="A11" s="29" t="str">
        <x:v>800g</x:v>
      </x:c>
      <x:c r="B11" s="29" t="str">
        <x:v>CAM0800G-V3</x:v>
      </x:c>
      <x:c r="C11" s="29" t="str">
        <x:v>INT-AP-SPK-0800G-V3</x:v>
      </x:c>
      <x:c r="D11" s="29" t="str">
        <x:v>eBay SpeedPAK Economy</x:v>
      </x:c>
      <x:c r="E11" s="30" t="n">
        <x:v>4400</x:v>
      </x:c>
      <x:c r="F11" s="31" t="n">
        <x:f>ROUNDUP(E11/'設定・注意'!$B$4,0)-0.01</x:f>
        <x:v>30.99</x:v>
      </x:c>
      <x:c r="G11" s="31" t="str">
        <x:v>Economy International Shipping</x:v>
      </x:c>
      <x:c r="H11" s="31" t="n">
        <x:f>MAXIFS('国際料金テーブル'!$F:$F,'国際料金テーブル'!$A:$A,A11)</x:f>
        <x:v>34.99</x:v>
      </x:c>
      <x:c r="I11" s="32" t="n">
        <x:v>3</x:v>
      </x:c>
      <x:c r="J11" s="29" t="str">
        <x:v>未作成</x:v>
      </x:c>
    </x:row>
    <x:row r="12">
      <x:c r="A12" s="29" t="str">
        <x:v>900g</x:v>
      </x:c>
      <x:c r="B12" s="29" t="str">
        <x:v>CAM0900G-V3</x:v>
      </x:c>
      <x:c r="C12" s="29" t="str">
        <x:v>INT-AP-SPK-0900G-V3</x:v>
      </x:c>
      <x:c r="D12" s="29" t="str">
        <x:v>eBay SpeedPAK Economy</x:v>
      </x:c>
      <x:c r="E12" s="30" t="n">
        <x:v>4600</x:v>
      </x:c>
      <x:c r="F12" s="31" t="n">
        <x:f>ROUNDUP(E12/'設定・注意'!$B$4,0)-0.01</x:f>
        <x:v>31.99</x:v>
      </x:c>
      <x:c r="G12" s="31" t="str">
        <x:v>Economy International Shipping</x:v>
      </x:c>
      <x:c r="H12" s="31" t="n">
        <x:f>MAXIFS('国際料金テーブル'!$F:$F,'国際料金テーブル'!$A:$A,A12)</x:f>
        <x:v>36.99</x:v>
      </x:c>
      <x:c r="I12" s="32" t="n">
        <x:v>3</x:v>
      </x:c>
      <x:c r="J12" s="29" t="str">
        <x:v>未作成</x:v>
      </x:c>
    </x:row>
    <x:row r="13">
      <x:c r="A13" s="29" t="str">
        <x:v>1000g</x:v>
      </x:c>
      <x:c r="B13" s="29" t="str">
        <x:v>CAM1000G-V3</x:v>
      </x:c>
      <x:c r="C13" s="29" t="str">
        <x:v>INT-AP-SPK-1000G-V3</x:v>
      </x:c>
      <x:c r="D13" s="29" t="str">
        <x:v>eBay SpeedPAK Economy</x:v>
      </x:c>
      <x:c r="E13" s="30" t="n">
        <x:v>4900</x:v>
      </x:c>
      <x:c r="F13" s="31" t="n">
        <x:f>ROUNDUP(E13/'設定・注意'!$B$4,0)-0.01</x:f>
        <x:v>33.99</x:v>
      </x:c>
      <x:c r="G13" s="31" t="str">
        <x:v>Economy International Shipping</x:v>
      </x:c>
      <x:c r="H13" s="31" t="n">
        <x:f>MAXIFS('国際料金テーブル'!$F:$F,'国際料金テーブル'!$A:$A,A13)</x:f>
        <x:v>37.99</x:v>
      </x:c>
      <x:c r="I13" s="32" t="n">
        <x:v>3</x:v>
      </x:c>
      <x:c r="J13" s="29" t="str">
        <x:v>未作成</x:v>
      </x:c>
    </x:row>
    <x:row r="15">
      <x:c r="A15" s="58" t="str">
        <x:v>重要：各重量につき配送ポリシーは1個だけ。SpeedPAK専用ポリシーは別作成しない。</x:v>
      </x:c>
      <x:c r="B15" s="58"/>
      <x:c r="C15" s="58"/>
      <x:c r="D15" s="58"/>
      <x:c r="E15" s="58"/>
      <x:c r="F15" s="58"/>
      <x:c r="G15" s="58"/>
      <x:c r="H15" s="58"/>
      <x:c r="I15" s="58"/>
      <x:c r="J15" s="58"/>
    </x:row>
    <x:row r="16">
      <x:c r="A16" s="59" t="str">
        <x:v>米国は各ポリシーの国内配送欄へSpeedPAK Economyを直接入力。英国・ドイツ・豪州は同重量の国際料金テーブル内で個別行にし、その他は日本郵便の地帯別行にする。</x:v>
      </x:c>
      <x:c r="B16" s="59"/>
      <x:c r="C16" s="59"/>
      <x:c r="D16" s="59"/>
      <x:c r="E16" s="59"/>
      <x:c r="F16" s="59"/>
      <x:c r="G16" s="59"/>
      <x:c r="H16" s="59"/>
      <x:c r="I16" s="59"/>
      <x:c r="J16" s="59"/>
    </x:row>
    <x:row r="17">
      <x:c r="A17" s="59"/>
      <x:c r="B17" s="59"/>
      <x:c r="C17" s="59"/>
      <x:c r="D17" s="59"/>
      <x:c r="E17" s="59"/>
      <x:c r="F17" s="59"/>
      <x:c r="G17" s="59"/>
      <x:c r="H17" s="59"/>
      <x:c r="I17" s="59"/>
      <x:c r="J17" s="59"/>
    </x:row>
    <x:row r="18">
      <x:c r="A18" s="59"/>
      <x:c r="B18" s="59"/>
      <x:c r="C18" s="59"/>
      <x:c r="D18" s="59"/>
      <x:c r="E18" s="59"/>
      <x:c r="F18" s="59"/>
      <x:c r="G18" s="59"/>
      <x:c r="H18" s="59"/>
      <x:c r="I18" s="59"/>
      <x:c r="J18" s="59"/>
    </x:row>
  </x:sheetData>
  <x:mergeCells>
    <x:mergeCell ref="A1:J1"/>
    <x:mergeCell ref="A15:J15"/>
    <x:mergeCell ref="A16:J18"/>
  </x:mergeCells>
  <x:pageMargins left="0.7" right="0.7" top="0.75" bottom="0.75" header="0.3" footer="0.3"/>
  <x:tableParts count="1">
    <x:tablePart xmlns:r="http://schemas.openxmlformats.org/officeDocument/2006/relationships" r:id="R6602686c80f34253"/>
  </x:tableParts>
</x:worksheet>
</file>

<file path=xl/worksheets/sheet2.xml><?xml version="1.0" encoding="utf-8"?>
<x:worksheet xmlns:x="http://schemas.openxmlformats.org/spreadsheetml/2006/main">
  <x:sheetFormatPr defaultRowHeight="15"/>
  <x:cols>
    <x:col min="1" max="1" width="9" hidden="0" customWidth="1"/>
    <x:col min="2" max="2" width="12" hidden="0" customWidth="1"/>
    <x:col min="3" max="3" width="26" hidden="0" customWidth="1"/>
    <x:col min="4" max="4" width="30" hidden="0" customWidth="1"/>
    <x:col min="5" max="5" width="12" hidden="0" customWidth="1"/>
    <x:col min="6" max="6" width="12" hidden="0" customWidth="1"/>
    <x:col min="7" max="7" width="90" hidden="0" customWidth="1"/>
    <x:col min="8" max="8" width="42" hidden="0" customWidth="1"/>
  </x:cols>
  <x:sheetData>
    <x:row r="1">
      <x:c r="A1" s="5" t="str">
        <x:v>国際料金テーブル入力表（各重量ごとにこの行を作成）</x:v>
      </x:c>
      <x:c r="B1" s="5"/>
      <x:c r="C1" s="5"/>
      <x:c r="D1" s="5"/>
      <x:c r="E1" s="5"/>
      <x:c r="F1" s="5"/>
      <x:c r="G1" s="5"/>
      <x:c r="H1" s="5"/>
    </x:row>
    <x:row r="3">
      <x:c r="A3" s="28" t="str">
        <x:v>重量</x:v>
      </x:c>
      <x:c r="B3" s="28" t="str">
        <x:v>行ID</x:v>
      </x:c>
      <x:c r="C3" s="28" t="str">
        <x:v>料金テーブル内の区分</x:v>
      </x:c>
      <x:c r="D3" s="28" t="str">
        <x:v>選択サービス</x:v>
      </x:c>
      <x:c r="E3" s="28" t="str">
        <x:v>円額</x:v>
      </x:c>
      <x:c r="F3" s="28" t="str">
        <x:v>入力USD</x:v>
      </x:c>
      <x:c r="G3" s="28" t="str">
        <x:v>eBayで選択する地域・国</x:v>
      </x:c>
      <x:c r="H3" s="28" t="str">
        <x:v>入力メモ</x:v>
      </x:c>
    </x:row>
    <x:row r="4">
      <x:c r="A4" s="29" t="str">
        <x:v>100g</x:v>
      </x:c>
      <x:c r="B4" s="29" t="str">
        <x:v>SPK-UK</x:v>
      </x:c>
      <x:c r="C4" s="29" t="str">
        <x:v>United Kingdom</x:v>
      </x:c>
      <x:c r="D4" s="29" t="str">
        <x:v>eBay SpeedPAK Economy</x:v>
      </x:c>
      <x:c r="E4" s="30" t="n">
        <x:v>1700</x:v>
      </x:c>
      <x:c r="F4" s="31" t="n">
        <x:f>ROUNDUP(E4/'設定・注意'!$B$4,0)-0.01</x:f>
        <x:v>11.99</x:v>
      </x:c>
      <x:c r="G4" s="29" t="str">
        <x:v>United Kingdomのみ</x:v>
      </x:c>
      <x:c r="H4" s="29" t="str">
        <x:v>Select shipping serviceで該当サービスが選べる場合は選択。選べない場合は旧成功例を優先。</x:v>
      </x:c>
    </x:row>
    <x:row r="5">
      <x:c r="A5" s="29" t="str">
        <x:v>100g</x:v>
      </x:c>
      <x:c r="B5" s="29" t="str">
        <x:v>SPK-DE</x:v>
      </x:c>
      <x:c r="C5" s="29" t="str">
        <x:v>Germany</x:v>
      </x:c>
      <x:c r="D5" s="29" t="str">
        <x:v>eBay SpeedPAK Economy</x:v>
      </x:c>
      <x:c r="E5" s="30" t="n">
        <x:v>2500</x:v>
      </x:c>
      <x:c r="F5" s="31" t="n">
        <x:f>ROUNDUP(E5/'設定・注意'!$B$4,0)-0.01</x:f>
        <x:v>17.99</x:v>
      </x:c>
      <x:c r="G5" s="29" t="str">
        <x:v>Germanyのみ</x:v>
      </x:c>
      <x:c r="H5" s="29" t="str">
        <x:v>Select shipping serviceで該当サービスが選べる場合は選択。選べない場合は旧成功例を優先。</x:v>
      </x:c>
    </x:row>
    <x:row r="6">
      <x:c r="A6" s="29" t="str">
        <x:v>100g</x:v>
      </x:c>
      <x:c r="B6" s="29" t="str">
        <x:v>SPK-AU</x:v>
      </x:c>
      <x:c r="C6" s="29" t="str">
        <x:v>Australia</x:v>
      </x:c>
      <x:c r="D6" s="29" t="str">
        <x:v>eBay SpeedPAK Economy</x:v>
      </x:c>
      <x:c r="E6" s="30" t="n">
        <x:v>2000</x:v>
      </x:c>
      <x:c r="F6" s="31" t="n">
        <x:f>ROUNDUP(E6/'設定・注意'!$B$4,0)-0.01</x:f>
        <x:v>13.99</x:v>
      </x:c>
      <x:c r="G6" s="29" t="str">
        <x:v>Australiaのみ</x:v>
      </x:c>
      <x:c r="H6" s="29" t="str">
        <x:v>Select shipping serviceで該当サービスが選べる場合は選択。選べない場合は旧成功例を優先。</x:v>
      </x:c>
    </x:row>
    <x:row r="7">
      <x:c r="A7" s="29" t="str">
        <x:v>100g</x:v>
      </x:c>
      <x:c r="B7" s="29" t="str">
        <x:v>JP-Z1</x:v>
      </x:c>
      <x:c r="C7" s="29" t="str">
        <x:v>日本郵便 第1地帯</x:v>
      </x:c>
      <x:c r="D7" s="29" t="str">
        <x:v>Economy International Shipping</x:v>
      </x:c>
      <x:c r="E7" s="30" t="n">
        <x:v>1200</x:v>
      </x:c>
      <x:c r="F7" s="31" t="n">
        <x:f>ROUNDUP(E7/'設定・注意'!$B$4,0)-0.01</x:f>
        <x:v>8.99</x:v>
      </x:c>
      <x:c r="G7" s="29" t="str">
        <x:v>Asia - China, Korea, South
Southeast Asia - Taiwan</x:v>
      </x:c>
      <x:c r="H7" s="29" t="str">
        <x:v>Select shipping serviceで該当サービスが選べる場合は選択。選べない場合は旧成功例を優先。</x:v>
      </x:c>
    </x:row>
    <x:row r="8">
      <x:c r="A8" s="29" t="str">
        <x:v>100g</x:v>
      </x:c>
      <x:c r="B8" s="29" t="str">
        <x:v>JP-Z2</x:v>
      </x:c>
      <x:c r="C8" s="29" t="str">
        <x:v>日本郵便 第2地帯</x:v>
      </x:c>
      <x:c r="D8" s="29" t="str">
        <x:v>Economy International Shipping</x:v>
      </x:c>
      <x:c r="E8" s="30" t="n">
        <x:v>1300</x:v>
      </x:c>
      <x:c r="F8" s="31" t="n">
        <x:f>ROUNDUP(E8/'設定・注意'!$B$4,0)-0.01</x:f>
        <x:v>8.99</x:v>
      </x:c>
      <x:c r="G8" s="29" t="str">
        <x:v>Asia - Afghanistan, Armenia, Azerbaijan Republic, Bangladesh, Bhutan, Georgia, India, Kazakhstan, Kyrgyzstan, Maldives, Mongolia, Nepal, Pakistan, Sri Lanka, Tajikistan, Turkmenistan, Uzbekistan
Southeast Asia - Brunei Darussalam, Cambodia, Hong Kong, Indonesia, Laos, Macau, Malaysia, Philippines, Singapore, Thailand, Vietnam</x:v>
      </x:c>
      <x:c r="H8" s="29" t="str">
        <x:v>Select shipping serviceで該当サービスが選べる場合は選択。選べない場合は旧成功例を優先。</x:v>
      </x:c>
    </x:row>
    <x:row r="9">
      <x:c r="A9" s="29" t="str">
        <x:v>100g</x:v>
      </x:c>
      <x:c r="B9" s="29" t="str">
        <x:v>JP-Z3</x:v>
      </x:c>
      <x:c r="C9" s="29" t="str">
        <x:v>日本郵便 第3地帯</x:v>
      </x:c>
      <x:c r="D9" s="29" t="str">
        <x:v>Economy International Shipping</x:v>
      </x:c>
      <x:c r="E9" s="30" t="n">
        <x:v>1400</x:v>
      </x:c>
      <x:c r="F9" s="31" t="n">
        <x:f>ROUNDUP(E9/'設定・注意'!$B$4,0)-0.01</x:f>
        <x:v>9.99</x:v>
      </x:c>
      <x:c r="G9" s="29" t="str">
        <x:v>Europe (including UK) - Albania, Andorra, Austria, Belarus, Belgium, Bosnia and Herzegovina, Bulgaria, Croatia, Republic of, Cyprus, Czech Republic, Denmark, Estonia, Finland, France, Gibraltar, Greece, Guernsey, Hungary, Iceland, Ireland, Italy, Jersey, Latvia, Liechtenstein, Lithuania, Luxembourg, Macedonia, Malta, Moldova, Monaco, Montenegro, Netherlands, Norway, Poland, Portugal, Romania, Russian Federation, San Marino, Serbia, Slovakia, Slovenia, Spain, Svalbard and Jan Mayen, Sweden, Switzerland, Ukraine, Vatican City State
Middle East - Bahrain, Iraq, Israel, Jordan, Kuwait, Lebanon, Oman, Qatar, Saudi Arabia, Turkey, United Arab Emirates, Yemen
North America - Bermuda, Canada, Greenland, Mexico, Saint Pierre and Miquelon
Oceania - Cook Islands, Fiji, French Polynesia, Kiribati, Marshall Islands, Micronesia, Nauru, New Caledonia, New Zealand, Niue, Palau, Papua New Guinea, Solomon Islands, Tonga, Tuvalu, Vanuatu, Wallis and Futuna, Western Samoa</x:v>
      </x:c>
      <x:c r="H9" s="29" t="str">
        <x:v>Select shipping serviceで該当サービスが選べる場合は選択。選べない場合は旧成功例を優先。</x:v>
      </x:c>
    </x:row>
    <x:row r="10">
      <x:c r="A10" s="29" t="str">
        <x:v>100g</x:v>
      </x:c>
      <x:c r="B10" s="29" t="str">
        <x:v>JP-Z4</x:v>
      </x:c>
      <x:c r="C10" s="29" t="str">
        <x:v>日本郵便 第4地帯（米国領）</x:v>
      </x:c>
      <x:c r="D10" s="29" t="str">
        <x:v>Economy International Shipping</x:v>
      </x:c>
      <x:c r="E10" s="30" t="n">
        <x:v>1800</x:v>
      </x:c>
      <x:c r="F10" s="31" t="n">
        <x:f>ROUNDUP(E10/'設定・注意'!$B$4,0)-0.01</x:f>
        <x:v>12.99</x:v>
      </x:c>
      <x:c r="G10" s="29" t="str">
        <x:v>Central America and Caribbean - Puerto Rico, Virgin Islands (U.S.)
Oceania - American Samoa, Guam</x:v>
      </x:c>
      <x:c r="H10" s="29" t="str">
        <x:v>Select shipping serviceで該当サービスが選べる場合は選択。選べない場合は旧成功例を優先。</x:v>
      </x:c>
    </x:row>
    <x:row r="11">
      <x:c r="A11" s="29" t="str">
        <x:v>100g</x:v>
      </x:c>
      <x:c r="B11" s="29" t="str">
        <x:v>JP-Z5</x:v>
      </x:c>
      <x:c r="C11" s="29" t="str">
        <x:v>日本郵便 第5地帯</x:v>
      </x:c>
      <x:c r="D11" s="29" t="str">
        <x:v>Economy International Shipping</x:v>
      </x:c>
      <x:c r="E11" s="30" t="n">
        <x:v>1500</x:v>
      </x:c>
      <x:c r="F11" s="31" t="n">
        <x:f>ROUNDUP(E11/'設定・注意'!$B$4,0)-0.01</x:f>
        <x:v>10.99</x:v>
      </x:c>
      <x:c r="G11" s="29" t="str">
        <x:v>Africa - Algeria, Angola, Benin, Botswana, Burkina Faso, Burundi, Cameroon, Cape Verde Islands, Central African Republic, Chad, Comoros, Congo, Democratic Republic of the, Congo, Republic of the, Côte d'Ivoire (Ivory Coast), Djibouti, Egypt, Equatorial Guinea, Eritrea, Ethiopia, Gabon Republic, Gambia, Ghana, Guinea, Guinea-Bissau, Kenya, Lesotho, Liberia, Libya, Madagascar, Malawi, Mali, Mauritania, Mauritius, Mayotte, Morocco, Mozambique, Namibia, Niger, Nigeria, Reunion, Rwanda, Saint Helena, Senegal, Seychelles, Sierra Leone, Somalia, South Africa, Swaziland, Tanzania, Togo, Tunisia, Uganda, Western Sahara, Zambia, Zimbabwe
Central America and Caribbean - Anguilla, Antigua and Barbuda, Aruba, Bahamas, Barbados, Belize, British Virgin Islands, Cayman Islands, Costa Rica, Dominica, Dominican Republic, El Salvador, Grenada, Guadeloupe, Guatemala, Haiti, Honduras, Jamaica, Martinique, Montserrat, Netherlands Antilles, Nicaragua, Panama, Saint Kitts-Nevis, Saint Lucia, Saint Vincent and the Grenadines, Trinidad and Tobago, Turks and Caicos Islands
South America - Argentina, Bolivia, Brazil, Chile, Colombia, Ecuador, Falkland Islands (Islas Malvinas), French Guiana, Guyana, Paraguay, Peru, Suriname, Uruguay, Venezuela</x:v>
      </x:c>
      <x:c r="H11" s="29" t="str">
        <x:v>Select shipping serviceで該当サービスが選べる場合は選択。選べない場合は旧成功例を優先。</x:v>
      </x:c>
    </x:row>
    <x:row r="12">
      <x:c r="A12" s="29" t="str">
        <x:v>200g</x:v>
      </x:c>
      <x:c r="B12" s="29" t="str">
        <x:v>SPK-UK</x:v>
      </x:c>
      <x:c r="C12" s="29" t="str">
        <x:v>United Kingdom</x:v>
      </x:c>
      <x:c r="D12" s="29" t="str">
        <x:v>eBay SpeedPAK Economy</x:v>
      </x:c>
      <x:c r="E12" s="30" t="n">
        <x:v>1900</x:v>
      </x:c>
      <x:c r="F12" s="31" t="n">
        <x:f>ROUNDUP(E12/'設定・注意'!$B$4,0)-0.01</x:f>
        <x:v>13.99</x:v>
      </x:c>
      <x:c r="G12" s="29" t="str">
        <x:v>United Kingdomのみ</x:v>
      </x:c>
      <x:c r="H12" s="29" t="str">
        <x:v>Select shipping serviceで該当サービスが選べる場合は選択。選べない場合は旧成功例を優先。</x:v>
      </x:c>
    </x:row>
    <x:row r="13">
      <x:c r="A13" s="29" t="str">
        <x:v>200g</x:v>
      </x:c>
      <x:c r="B13" s="29" t="str">
        <x:v>SPK-DE</x:v>
      </x:c>
      <x:c r="C13" s="29" t="str">
        <x:v>Germany</x:v>
      </x:c>
      <x:c r="D13" s="29" t="str">
        <x:v>eBay SpeedPAK Economy</x:v>
      </x:c>
      <x:c r="E13" s="30" t="n">
        <x:v>2800</x:v>
      </x:c>
      <x:c r="F13" s="31" t="n">
        <x:f>ROUNDUP(E13/'設定・注意'!$B$4,0)-0.01</x:f>
        <x:v>19.99</x:v>
      </x:c>
      <x:c r="G13" s="29" t="str">
        <x:v>Germanyのみ</x:v>
      </x:c>
      <x:c r="H13" s="29" t="str">
        <x:v>Select shipping serviceで該当サービスが選べる場合は選択。選べない場合は旧成功例を優先。</x:v>
      </x:c>
    </x:row>
    <x:row r="14">
      <x:c r="A14" s="29" t="str">
        <x:v>200g</x:v>
      </x:c>
      <x:c r="B14" s="29" t="str">
        <x:v>SPK-AU</x:v>
      </x:c>
      <x:c r="C14" s="29" t="str">
        <x:v>Australia</x:v>
      </x:c>
      <x:c r="D14" s="29" t="str">
        <x:v>eBay SpeedPAK Economy</x:v>
      </x:c>
      <x:c r="E14" s="30" t="n">
        <x:v>2200</x:v>
      </x:c>
      <x:c r="F14" s="31" t="n">
        <x:f>ROUNDUP(E14/'設定・注意'!$B$4,0)-0.01</x:f>
        <x:v>15.99</x:v>
      </x:c>
      <x:c r="G14" s="29" t="str">
        <x:v>Australiaのみ</x:v>
      </x:c>
      <x:c r="H14" s="29" t="str">
        <x:v>Select shipping serviceで該当サービスが選べる場合は選択。選べない場合は旧成功例を優先。</x:v>
      </x:c>
    </x:row>
    <x:row r="15">
      <x:c r="A15" s="29" t="str">
        <x:v>200g</x:v>
      </x:c>
      <x:c r="B15" s="29" t="str">
        <x:v>JP-Z1</x:v>
      </x:c>
      <x:c r="C15" s="29" t="str">
        <x:v>日本郵便 第1地帯</x:v>
      </x:c>
      <x:c r="D15" s="29" t="str">
        <x:v>Economy International Shipping</x:v>
      </x:c>
      <x:c r="E15" s="30" t="n">
        <x:v>1400</x:v>
      </x:c>
      <x:c r="F15" s="31" t="n">
        <x:f>ROUNDUP(E15/'設定・注意'!$B$4,0)-0.01</x:f>
        <x:v>9.99</x:v>
      </x:c>
      <x:c r="G15" s="29" t="str">
        <x:v>Asia - China, Korea, South
Southeast Asia - Taiwan</x:v>
      </x:c>
      <x:c r="H15" s="29" t="str">
        <x:v>Select shipping serviceで該当サービスが選べる場合は選択。選べない場合は旧成功例を優先。</x:v>
      </x:c>
    </x:row>
    <x:row r="16">
      <x:c r="A16" s="29" t="str">
        <x:v>200g</x:v>
      </x:c>
      <x:c r="B16" s="29" t="str">
        <x:v>JP-Z2</x:v>
      </x:c>
      <x:c r="C16" s="29" t="str">
        <x:v>日本郵便 第2地帯</x:v>
      </x:c>
      <x:c r="D16" s="29" t="str">
        <x:v>Economy International Shipping</x:v>
      </x:c>
      <x:c r="E16" s="30" t="n">
        <x:v>1400</x:v>
      </x:c>
      <x:c r="F16" s="31" t="n">
        <x:f>ROUNDUP(E16/'設定・注意'!$B$4,0)-0.01</x:f>
        <x:v>9.99</x:v>
      </x:c>
      <x:c r="G16" s="29" t="str">
        <x:v>Asia - Afghanistan, Armenia, Azerbaijan Republic, Bangladesh, Bhutan, Georgia, India, Kazakhstan, Kyrgyzstan, Maldives, Mongolia, Nepal, Pakistan, Sri Lanka, Tajikistan, Turkmenistan, Uzbekistan
Southeast Asia - Brunei Darussalam, Cambodia, Hong Kong, Indonesia, Laos, Macau, Malaysia, Philippines, Singapore, Thailand, Vietnam</x:v>
      </x:c>
      <x:c r="H16" s="29" t="str">
        <x:v>Select shipping serviceで該当サービスが選べる場合は選択。選べない場合は旧成功例を優先。</x:v>
      </x:c>
    </x:row>
    <x:row r="17">
      <x:c r="A17" s="29" t="str">
        <x:v>200g</x:v>
      </x:c>
      <x:c r="B17" s="29" t="str">
        <x:v>JP-Z3</x:v>
      </x:c>
      <x:c r="C17" s="29" t="str">
        <x:v>日本郵便 第3地帯</x:v>
      </x:c>
      <x:c r="D17" s="29" t="str">
        <x:v>Economy International Shipping</x:v>
      </x:c>
      <x:c r="E17" s="30" t="n">
        <x:v>1600</x:v>
      </x:c>
      <x:c r="F17" s="31" t="n">
        <x:f>ROUNDUP(E17/'設定・注意'!$B$4,0)-0.01</x:f>
        <x:v>11.99</x:v>
      </x:c>
      <x:c r="G17" s="29" t="str">
        <x:v>Europe (including UK) - Albania, Andorra, Austria, Belarus, Belgium, Bosnia and Herzegovina, Bulgaria, Croatia, Republic of, Cyprus, Czech Republic, Denmark, Estonia, Finland, France, Gibraltar, Greece, Guernsey, Hungary, Iceland, Ireland, Italy, Jersey, Latvia, Liechtenstein, Lithuania, Luxembourg, Macedonia, Malta, Moldova, Monaco, Montenegro, Netherlands, Norway, Poland, Portugal, Romania, Russian Federation, San Marino, Serbia, Slovakia, Slovenia, Spain, Svalbard and Jan Mayen, Sweden, Switzerland, Ukraine, Vatican City State
Middle East - Bahrain, Iraq, Israel, Jordan, Kuwait, Lebanon, Oman, Qatar, Saudi Arabia, Turkey, United Arab Emirates, Yemen
North America - Bermuda, Canada, Greenland, Mexico, Saint Pierre and Miquelon
Oceania - Cook Islands, Fiji, French Polynesia, Kiribati, Marshall Islands, Micronesia, Nauru, New Caledonia, New Zealand, Niue, Palau, Papua New Guinea, Solomon Islands, Tonga, Tuvalu, Vanuatu, Wallis and Futuna, Western Samoa</x:v>
      </x:c>
      <x:c r="H17" s="29" t="str">
        <x:v>Select shipping serviceで該当サービスが選べる場合は選択。選べない場合は旧成功例を優先。</x:v>
      </x:c>
    </x:row>
    <x:row r="18">
      <x:c r="A18" s="29" t="str">
        <x:v>200g</x:v>
      </x:c>
      <x:c r="B18" s="29" t="str">
        <x:v>JP-Z4</x:v>
      </x:c>
      <x:c r="C18" s="29" t="str">
        <x:v>日本郵便 第4地帯（米国領）</x:v>
      </x:c>
      <x:c r="D18" s="29" t="str">
        <x:v>Economy International Shipping</x:v>
      </x:c>
      <x:c r="E18" s="30" t="n">
        <x:v>2100</x:v>
      </x:c>
      <x:c r="F18" s="31" t="n">
        <x:f>ROUNDUP(E18/'設定・注意'!$B$4,0)-0.01</x:f>
        <x:v>14.99</x:v>
      </x:c>
      <x:c r="G18" s="29" t="str">
        <x:v>Central America and Caribbean - Puerto Rico, Virgin Islands (U.S.)
Oceania - American Samoa, Guam</x:v>
      </x:c>
      <x:c r="H18" s="29" t="str">
        <x:v>Select shipping serviceで該当サービスが選べる場合は選択。選べない場合は旧成功例を優先。</x:v>
      </x:c>
    </x:row>
    <x:row r="19">
      <x:c r="A19" s="29" t="str">
        <x:v>200g</x:v>
      </x:c>
      <x:c r="B19" s="29" t="str">
        <x:v>JP-Z5</x:v>
      </x:c>
      <x:c r="C19" s="29" t="str">
        <x:v>日本郵便 第5地帯</x:v>
      </x:c>
      <x:c r="D19" s="29" t="str">
        <x:v>Economy International Shipping</x:v>
      </x:c>
      <x:c r="E19" s="30" t="n">
        <x:v>1800</x:v>
      </x:c>
      <x:c r="F19" s="31" t="n">
        <x:f>ROUNDUP(E19/'設定・注意'!$B$4,0)-0.01</x:f>
        <x:v>12.99</x:v>
      </x:c>
      <x:c r="G19" s="29" t="str">
        <x:v>Africa - Algeria, Angola, Benin, Botswana, Burkina Faso, Burundi, Cameroon, Cape Verde Islands, Central African Republic, Chad, Comoros, Congo, Democratic Republic of the, Congo, Republic of the, Côte d'Ivoire (Ivory Coast), Djibouti, Egypt, Equatorial Guinea, Eritrea, Ethiopia, Gabon Republic, Gambia, Ghana, Guinea, Guinea-Bissau, Kenya, Lesotho, Liberia, Libya, Madagascar, Malawi, Mali, Mauritania, Mauritius, Mayotte, Morocco, Mozambique, Namibia, Niger, Nigeria, Reunion, Rwanda, Saint Helena, Senegal, Seychelles, Sierra Leone, Somalia, South Africa, Swaziland, Tanzania, Togo, Tunisia, Uganda, Western Sahara, Zambia, Zimbabwe
Central America and Caribbean - Anguilla, Antigua and Barbuda, Aruba, Bahamas, Barbados, Belize, British Virgin Islands, Cayman Islands, Costa Rica, Dominica, Dominican Republic, El Salvador, Grenada, Guadeloupe, Guatemala, Haiti, Honduras, Jamaica, Martinique, Montserrat, Netherlands Antilles, Nicaragua, Panama, Saint Kitts-Nevis, Saint Lucia, Saint Vincent and the Grenadines, Trinidad and Tobago, Turks and Caicos Islands
South America - Argentina, Bolivia, Brazil, Chile, Colombia, Ecuador, Falkland Islands (Islas Malvinas), French Guiana, Guyana, Paraguay, Peru, Suriname, Uruguay, Venezuela</x:v>
      </x:c>
      <x:c r="H19" s="29" t="str">
        <x:v>Select shipping serviceで該当サービスが選べる場合は選択。選べない場合は旧成功例を優先。</x:v>
      </x:c>
    </x:row>
    <x:row r="20">
      <x:c r="A20" s="29" t="str">
        <x:v>300g</x:v>
      </x:c>
      <x:c r="B20" s="29" t="str">
        <x:v>SPK-UK</x:v>
      </x:c>
      <x:c r="C20" s="29" t="str">
        <x:v>United Kingdom</x:v>
      </x:c>
      <x:c r="D20" s="29" t="str">
        <x:v>eBay SpeedPAK Economy</x:v>
      </x:c>
      <x:c r="E20" s="30" t="n">
        <x:v>2100</x:v>
      </x:c>
      <x:c r="F20" s="31" t="n">
        <x:f>ROUNDUP(E20/'設定・注意'!$B$4,0)-0.01</x:f>
        <x:v>14.99</x:v>
      </x:c>
      <x:c r="G20" s="29" t="str">
        <x:v>United Kingdomのみ</x:v>
      </x:c>
      <x:c r="H20" s="29" t="str">
        <x:v>Select shipping serviceで該当サービスが選べる場合は選択。選べない場合は旧成功例を優先。</x:v>
      </x:c>
    </x:row>
    <x:row r="21">
      <x:c r="A21" s="29" t="str">
        <x:v>300g</x:v>
      </x:c>
      <x:c r="B21" s="29" t="str">
        <x:v>SPK-DE</x:v>
      </x:c>
      <x:c r="C21" s="29" t="str">
        <x:v>Germany</x:v>
      </x:c>
      <x:c r="D21" s="29" t="str">
        <x:v>eBay SpeedPAK Economy</x:v>
      </x:c>
      <x:c r="E21" s="30" t="n">
        <x:v>3200</x:v>
      </x:c>
      <x:c r="F21" s="31" t="n">
        <x:f>ROUNDUP(E21/'設定・注意'!$B$4,0)-0.01</x:f>
        <x:v>22.99</x:v>
      </x:c>
      <x:c r="G21" s="29" t="str">
        <x:v>Germanyのみ</x:v>
      </x:c>
      <x:c r="H21" s="29" t="str">
        <x:v>Select shipping serviceで該当サービスが選べる場合は選択。選べない場合は旧成功例を優先。</x:v>
      </x:c>
    </x:row>
    <x:row r="22">
      <x:c r="A22" s="29" t="str">
        <x:v>300g</x:v>
      </x:c>
      <x:c r="B22" s="29" t="str">
        <x:v>SPK-AU</x:v>
      </x:c>
      <x:c r="C22" s="29" t="str">
        <x:v>Australia</x:v>
      </x:c>
      <x:c r="D22" s="29" t="str">
        <x:v>eBay SpeedPAK Economy</x:v>
      </x:c>
      <x:c r="E22" s="30" t="n">
        <x:v>2500</x:v>
      </x:c>
      <x:c r="F22" s="31" t="n">
        <x:f>ROUNDUP(E22/'設定・注意'!$B$4,0)-0.01</x:f>
        <x:v>17.99</x:v>
      </x:c>
      <x:c r="G22" s="29" t="str">
        <x:v>Australiaのみ</x:v>
      </x:c>
      <x:c r="H22" s="29" t="str">
        <x:v>Select shipping serviceで該当サービスが選べる場合は選択。選べない場合は旧成功例を優先。</x:v>
      </x:c>
    </x:row>
    <x:row r="23">
      <x:c r="A23" s="29" t="str">
        <x:v>300g</x:v>
      </x:c>
      <x:c r="B23" s="29" t="str">
        <x:v>JP-Z1</x:v>
      </x:c>
      <x:c r="C23" s="29" t="str">
        <x:v>日本郵便 第1地帯</x:v>
      </x:c>
      <x:c r="D23" s="29" t="str">
        <x:v>Economy International Shipping</x:v>
      </x:c>
      <x:c r="E23" s="30" t="n">
        <x:v>1500</x:v>
      </x:c>
      <x:c r="F23" s="31" t="n">
        <x:f>ROUNDUP(E23/'設定・注意'!$B$4,0)-0.01</x:f>
        <x:v>10.99</x:v>
      </x:c>
      <x:c r="G23" s="29" t="str">
        <x:v>Asia - China, Korea, South
Southeast Asia - Taiwan</x:v>
      </x:c>
      <x:c r="H23" s="29" t="str">
        <x:v>Select shipping serviceで該当サービスが選べる場合は選択。選べない場合は旧成功例を優先。</x:v>
      </x:c>
    </x:row>
    <x:row r="24">
      <x:c r="A24" s="29" t="str">
        <x:v>300g</x:v>
      </x:c>
      <x:c r="B24" s="29" t="str">
        <x:v>JP-Z2</x:v>
      </x:c>
      <x:c r="C24" s="29" t="str">
        <x:v>日本郵便 第2地帯</x:v>
      </x:c>
      <x:c r="D24" s="29" t="str">
        <x:v>Economy International Shipping</x:v>
      </x:c>
      <x:c r="E24" s="30" t="n">
        <x:v>1600</x:v>
      </x:c>
      <x:c r="F24" s="31" t="n">
        <x:f>ROUNDUP(E24/'設定・注意'!$B$4,0)-0.01</x:f>
        <x:v>11.99</x:v>
      </x:c>
      <x:c r="G24" s="29" t="str">
        <x:v>Asia - Afghanistan, Armenia, Azerbaijan Republic, Bangladesh, Bhutan, Georgia, India, Kazakhstan, Kyrgyzstan, Maldives, Mongolia, Nepal, Pakistan, Sri Lanka, Tajikistan, Turkmenistan, Uzbekistan
Southeast Asia - Brunei Darussalam, Cambodia, Hong Kong, Indonesia, Laos, Macau, Malaysia, Philippines, Singapore, Thailand, Vietnam</x:v>
      </x:c>
      <x:c r="H24" s="29" t="str">
        <x:v>Select shipping serviceで該当サービスが選べる場合は選択。選べない場合は旧成功例を優先。</x:v>
      </x:c>
    </x:row>
    <x:row r="25">
      <x:c r="A25" s="29" t="str">
        <x:v>300g</x:v>
      </x:c>
      <x:c r="B25" s="29" t="str">
        <x:v>JP-Z3</x:v>
      </x:c>
      <x:c r="C25" s="29" t="str">
        <x:v>日本郵便 第3地帯</x:v>
      </x:c>
      <x:c r="D25" s="29" t="str">
        <x:v>Economy International Shipping</x:v>
      </x:c>
      <x:c r="E25" s="30" t="n">
        <x:v>1900</x:v>
      </x:c>
      <x:c r="F25" s="31" t="n">
        <x:f>ROUNDUP(E25/'設定・注意'!$B$4,0)-0.01</x:f>
        <x:v>13.99</x:v>
      </x:c>
      <x:c r="G25" s="29" t="str">
        <x:v>Europe (including UK) - Albania, Andorra, Austria, Belarus, Belgium, Bosnia and Herzegovina, Bulgaria, Croatia, Republic of, Cyprus, Czech Republic, Denmark, Estonia, Finland, France, Gibraltar, Greece, Guernsey, Hungary, Iceland, Ireland, Italy, Jersey, Latvia, Liechtenstein, Lithuania, Luxembourg, Macedonia, Malta, Moldova, Monaco, Montenegro, Netherlands, Norway, Poland, Portugal, Romania, Russian Federation, San Marino, Serbia, Slovakia, Slovenia, Spain, Svalbard and Jan Mayen, Sweden, Switzerland, Ukraine, Vatican City State
Middle East - Bahrain, Iraq, Israel, Jordan, Kuwait, Lebanon, Oman, Qatar, Saudi Arabia, Turkey, United Arab Emirates, Yemen
North America - Bermuda, Canada, Greenland, Mexico, Saint Pierre and Miquelon
Oceania - Cook Islands, Fiji, French Polynesia, Kiribati, Marshall Islands, Micronesia, Nauru, New Caledonia, New Zealand, Niue, Palau, Papua New Guinea, Solomon Islands, Tonga, Tuvalu, Vanuatu, Wallis and Futuna, Western Samoa</x:v>
      </x:c>
      <x:c r="H25" s="29" t="str">
        <x:v>Select shipping serviceで該当サービスが選べる場合は選択。選べない場合は旧成功例を優先。</x:v>
      </x:c>
    </x:row>
    <x:row r="26">
      <x:c r="A26" s="29" t="str">
        <x:v>300g</x:v>
      </x:c>
      <x:c r="B26" s="29" t="str">
        <x:v>JP-Z4</x:v>
      </x:c>
      <x:c r="C26" s="29" t="str">
        <x:v>日本郵便 第4地帯（米国領）</x:v>
      </x:c>
      <x:c r="D26" s="29" t="str">
        <x:v>Economy International Shipping</x:v>
      </x:c>
      <x:c r="E26" s="30" t="n">
        <x:v>2300</x:v>
      </x:c>
      <x:c r="F26" s="31" t="n">
        <x:f>ROUNDUP(E26/'設定・注意'!$B$4,0)-0.01</x:f>
        <x:v>15.99</x:v>
      </x:c>
      <x:c r="G26" s="29" t="str">
        <x:v>Central America and Caribbean - Puerto Rico, Virgin Islands (U.S.)
Oceania - American Samoa, Guam</x:v>
      </x:c>
      <x:c r="H26" s="29" t="str">
        <x:v>Select shipping serviceで該当サービスが選べる場合は選択。選べない場合は旧成功例を優先。</x:v>
      </x:c>
    </x:row>
    <x:row r="27">
      <x:c r="A27" s="29" t="str">
        <x:v>300g</x:v>
      </x:c>
      <x:c r="B27" s="29" t="str">
        <x:v>JP-Z5</x:v>
      </x:c>
      <x:c r="C27" s="29" t="str">
        <x:v>日本郵便 第5地帯</x:v>
      </x:c>
      <x:c r="D27" s="29" t="str">
        <x:v>Economy International Shipping</x:v>
      </x:c>
      <x:c r="E27" s="30" t="n">
        <x:v>2100</x:v>
      </x:c>
      <x:c r="F27" s="31" t="n">
        <x:f>ROUNDUP(E27/'設定・注意'!$B$4,0)-0.01</x:f>
        <x:v>14.99</x:v>
      </x:c>
      <x:c r="G27" s="29" t="str">
        <x:v>Africa - Algeria, Angola, Benin, Botswana, Burkina Faso, Burundi, Cameroon, Cape Verde Islands, Central African Republic, Chad, Comoros, Congo, Democratic Republic of the, Congo, Republic of the, Côte d'Ivoire (Ivory Coast), Djibouti, Egypt, Equatorial Guinea, Eritrea, Ethiopia, Gabon Republic, Gambia, Ghana, Guinea, Guinea-Bissau, Kenya, Lesotho, Liberia, Libya, Madagascar, Malawi, Mali, Mauritania, Mauritius, Mayotte, Morocco, Mozambique, Namibia, Niger, Nigeria, Reunion, Rwanda, Saint Helena, Senegal, Seychelles, Sierra Leone, Somalia, South Africa, Swaziland, Tanzania, Togo, Tunisia, Uganda, Western Sahara, Zambia, Zimbabwe
Central America and Caribbean - Anguilla, Antigua and Barbuda, Aruba, Bahamas, Barbados, Belize, British Virgin Islands, Cayman Islands, Costa Rica, Dominica, Dominican Republic, El Salvador, Grenada, Guadeloupe, Guatemala, Haiti, Honduras, Jamaica, Martinique, Montserrat, Netherlands Antilles, Nicaragua, Panama, Saint Kitts-Nevis, Saint Lucia, Saint Vincent and the Grenadines, Trinidad and Tobago, Turks and Caicos Islands
South America - Argentina, Bolivia, Brazil, Chile, Colombia, Ecuador, Falkland Islands (Islas Malvinas), French Guiana, Guyana, Paraguay, Peru, Suriname, Uruguay, Venezuela</x:v>
      </x:c>
      <x:c r="H27" s="29" t="str">
        <x:v>Select shipping serviceで該当サービスが選べる場合は選択。選べない場合は旧成功例を優先。</x:v>
      </x:c>
    </x:row>
    <x:row r="28">
      <x:c r="A28" s="29" t="str">
        <x:v>400g</x:v>
      </x:c>
      <x:c r="B28" s="29" t="str">
        <x:v>SPK-UK</x:v>
      </x:c>
      <x:c r="C28" s="29" t="str">
        <x:v>United Kingdom</x:v>
      </x:c>
      <x:c r="D28" s="29" t="str">
        <x:v>eBay SpeedPAK Economy</x:v>
      </x:c>
      <x:c r="E28" s="30" t="n">
        <x:v>2400</x:v>
      </x:c>
      <x:c r="F28" s="31" t="n">
        <x:f>ROUNDUP(E28/'設定・注意'!$B$4,0)-0.01</x:f>
        <x:v>16.99</x:v>
      </x:c>
      <x:c r="G28" s="29" t="str">
        <x:v>United Kingdomのみ</x:v>
      </x:c>
      <x:c r="H28" s="29" t="str">
        <x:v>Select shipping serviceで該当サービスが選べる場合は選択。選べない場合は旧成功例を優先。</x:v>
      </x:c>
    </x:row>
    <x:row r="29">
      <x:c r="A29" s="29" t="str">
        <x:v>400g</x:v>
      </x:c>
      <x:c r="B29" s="29" t="str">
        <x:v>SPK-DE</x:v>
      </x:c>
      <x:c r="C29" s="29" t="str">
        <x:v>Germany</x:v>
      </x:c>
      <x:c r="D29" s="29" t="str">
        <x:v>eBay SpeedPAK Economy</x:v>
      </x:c>
      <x:c r="E29" s="30" t="n">
        <x:v>3400</x:v>
      </x:c>
      <x:c r="F29" s="31" t="n">
        <x:f>ROUNDUP(E29/'設定・注意'!$B$4,0)-0.01</x:f>
        <x:v>23.99</x:v>
      </x:c>
      <x:c r="G29" s="29" t="str">
        <x:v>Germanyのみ</x:v>
      </x:c>
      <x:c r="H29" s="29" t="str">
        <x:v>Select shipping serviceで該当サービスが選べる場合は選択。選べない場合は旧成功例を優先。</x:v>
      </x:c>
    </x:row>
    <x:row r="30">
      <x:c r="A30" s="29" t="str">
        <x:v>400g</x:v>
      </x:c>
      <x:c r="B30" s="29" t="str">
        <x:v>SPK-AU</x:v>
      </x:c>
      <x:c r="C30" s="29" t="str">
        <x:v>Australia</x:v>
      </x:c>
      <x:c r="D30" s="29" t="str">
        <x:v>eBay SpeedPAK Economy</x:v>
      </x:c>
      <x:c r="E30" s="30" t="n">
        <x:v>2500</x:v>
      </x:c>
      <x:c r="F30" s="31" t="n">
        <x:f>ROUNDUP(E30/'設定・注意'!$B$4,0)-0.01</x:f>
        <x:v>17.99</x:v>
      </x:c>
      <x:c r="G30" s="29" t="str">
        <x:v>Australiaのみ</x:v>
      </x:c>
      <x:c r="H30" s="29" t="str">
        <x:v>Select shipping serviceで該当サービスが選べる場合は選択。選べない場合は旧成功例を優先。</x:v>
      </x:c>
    </x:row>
    <x:row r="31">
      <x:c r="A31" s="29" t="str">
        <x:v>400g</x:v>
      </x:c>
      <x:c r="B31" s="29" t="str">
        <x:v>JP-Z1</x:v>
      </x:c>
      <x:c r="C31" s="29" t="str">
        <x:v>日本郵便 第1地帯</x:v>
      </x:c>
      <x:c r="D31" s="29" t="str">
        <x:v>Economy International Shipping</x:v>
      </x:c>
      <x:c r="E31" s="30" t="n">
        <x:v>1600</x:v>
      </x:c>
      <x:c r="F31" s="31" t="n">
        <x:f>ROUNDUP(E31/'設定・注意'!$B$4,0)-0.01</x:f>
        <x:v>11.99</x:v>
      </x:c>
      <x:c r="G31" s="29" t="str">
        <x:v>Asia - China, Korea, South
Southeast Asia - Taiwan</x:v>
      </x:c>
      <x:c r="H31" s="29" t="str">
        <x:v>Select shipping serviceで該当サービスが選べる場合は選択。選べない場合は旧成功例を優先。</x:v>
      </x:c>
    </x:row>
    <x:row r="32">
      <x:c r="A32" s="29" t="str">
        <x:v>400g</x:v>
      </x:c>
      <x:c r="B32" s="29" t="str">
        <x:v>JP-Z2</x:v>
      </x:c>
      <x:c r="C32" s="29" t="str">
        <x:v>日本郵便 第2地帯</x:v>
      </x:c>
      <x:c r="D32" s="29" t="str">
        <x:v>Economy International Shipping</x:v>
      </x:c>
      <x:c r="E32" s="30" t="n">
        <x:v>1700</x:v>
      </x:c>
      <x:c r="F32" s="31" t="n">
        <x:f>ROUNDUP(E32/'設定・注意'!$B$4,0)-0.01</x:f>
        <x:v>11.99</x:v>
      </x:c>
      <x:c r="G32" s="29" t="str">
        <x:v>Asia - Afghanistan, Armenia, Azerbaijan Republic, Bangladesh, Bhutan, Georgia, India, Kazakhstan, Kyrgyzstan, Maldives, Mongolia, Nepal, Pakistan, Sri Lanka, Tajikistan, Turkmenistan, Uzbekistan
Southeast Asia - Brunei Darussalam, Cambodia, Hong Kong, Indonesia, Laos, Macau, Malaysia, Philippines, Singapore, Thailand, Vietnam</x:v>
      </x:c>
      <x:c r="H32" s="29" t="str">
        <x:v>Select shipping serviceで該当サービスが選べる場合は選択。選べない場合は旧成功例を優先。</x:v>
      </x:c>
    </x:row>
    <x:row r="33">
      <x:c r="A33" s="29" t="str">
        <x:v>400g</x:v>
      </x:c>
      <x:c r="B33" s="29" t="str">
        <x:v>JP-Z3</x:v>
      </x:c>
      <x:c r="C33" s="29" t="str">
        <x:v>日本郵便 第3地帯</x:v>
      </x:c>
      <x:c r="D33" s="29" t="str">
        <x:v>Economy International Shipping</x:v>
      </x:c>
      <x:c r="E33" s="30" t="n">
        <x:v>2100</x:v>
      </x:c>
      <x:c r="F33" s="31" t="n">
        <x:f>ROUNDUP(E33/'設定・注意'!$B$4,0)-0.01</x:f>
        <x:v>14.99</x:v>
      </x:c>
      <x:c r="G33" s="29" t="str">
        <x:v>Europe (including UK) - Albania, Andorra, Austria, Belarus, Belgium, Bosnia and Herzegovina, Bulgaria, Croatia, Republic of, Cyprus, Czech Republic, Denmark, Estonia, Finland, France, Gibraltar, Greece, Guernsey, Hungary, Iceland, Ireland, Italy, Jersey, Latvia, Liechtenstein, Lithuania, Luxembourg, Macedonia, Malta, Moldova, Monaco, Montenegro, Netherlands, Norway, Poland, Portugal, Romania, Russian Federation, San Marino, Serbia, Slovakia, Slovenia, Spain, Svalbard and Jan Mayen, Sweden, Switzerland, Ukraine, Vatican City State
Middle East - Bahrain, Iraq, Israel, Jordan, Kuwait, Lebanon, Oman, Qatar, Saudi Arabia, Turkey, United Arab Emirates, Yemen
North America - Bermuda, Canada, Greenland, Mexico, Saint Pierre and Miquelon
Oceania - Cook Islands, Fiji, French Polynesia, Kiribati, Marshall Islands, Micronesia, Nauru, New Caledonia, New Zealand, Niue, Palau, Papua New Guinea, Solomon Islands, Tonga, Tuvalu, Vanuatu, Wallis and Futuna, Western Samoa</x:v>
      </x:c>
      <x:c r="H33" s="29" t="str">
        <x:v>Select shipping serviceで該当サービスが選べる場合は選択。選べない場合は旧成功例を優先。</x:v>
      </x:c>
    </x:row>
    <x:row r="34">
      <x:c r="A34" s="29" t="str">
        <x:v>400g</x:v>
      </x:c>
      <x:c r="B34" s="29" t="str">
        <x:v>JP-Z4</x:v>
      </x:c>
      <x:c r="C34" s="29" t="str">
        <x:v>日本郵便 第4地帯（米国領）</x:v>
      </x:c>
      <x:c r="D34" s="29" t="str">
        <x:v>Economy International Shipping</x:v>
      </x:c>
      <x:c r="E34" s="30" t="n">
        <x:v>2600</x:v>
      </x:c>
      <x:c r="F34" s="31" t="n">
        <x:f>ROUNDUP(E34/'設定・注意'!$B$4,0)-0.01</x:f>
        <x:v>17.99</x:v>
      </x:c>
      <x:c r="G34" s="29" t="str">
        <x:v>Central America and Caribbean - Puerto Rico, Virgin Islands (U.S.)
Oceania - American Samoa, Guam</x:v>
      </x:c>
      <x:c r="H34" s="29" t="str">
        <x:v>Select shipping serviceで該当サービスが選べる場合は選択。選べない場合は旧成功例を優先。</x:v>
      </x:c>
    </x:row>
    <x:row r="35">
      <x:c r="A35" s="29" t="str">
        <x:v>400g</x:v>
      </x:c>
      <x:c r="B35" s="29" t="str">
        <x:v>JP-Z5</x:v>
      </x:c>
      <x:c r="C35" s="29" t="str">
        <x:v>日本郵便 第5地帯</x:v>
      </x:c>
      <x:c r="D35" s="29" t="str">
        <x:v>Economy International Shipping</x:v>
      </x:c>
      <x:c r="E35" s="30" t="n">
        <x:v>2400</x:v>
      </x:c>
      <x:c r="F35" s="31" t="n">
        <x:f>ROUNDUP(E35/'設定・注意'!$B$4,0)-0.01</x:f>
        <x:v>16.99</x:v>
      </x:c>
      <x:c r="G35" s="29" t="str">
        <x:v>Africa - Algeria, Angola, Benin, Botswana, Burkina Faso, Burundi, Cameroon, Cape Verde Islands, Central African Republic, Chad, Comoros, Congo, Democratic Republic of the, Congo, Republic of the, Côte d'Ivoire (Ivory Coast), Djibouti, Egypt, Equatorial Guinea, Eritrea, Ethiopia, Gabon Republic, Gambia, Ghana, Guinea, Guinea-Bissau, Kenya, Lesotho, Liberia, Libya, Madagascar, Malawi, Mali, Mauritania, Mauritius, Mayotte, Morocco, Mozambique, Namibia, Niger, Nigeria, Reunion, Rwanda, Saint Helena, Senegal, Seychelles, Sierra Leone, Somalia, South Africa, Swaziland, Tanzania, Togo, Tunisia, Uganda, Western Sahara, Zambia, Zimbabwe
Central America and Caribbean - Anguilla, Antigua and Barbuda, Aruba, Bahamas, Barbados, Belize, British Virgin Islands, Cayman Islands, Costa Rica, Dominica, Dominican Republic, El Salvador, Grenada, Guadeloupe, Guatemala, Haiti, Honduras, Jamaica, Martinique, Montserrat, Netherlands Antilles, Nicaragua, Panama, Saint Kitts-Nevis, Saint Lucia, Saint Vincent and the Grenadines, Trinidad and Tobago, Turks and Caicos Islands
South America - Argentina, Bolivia, Brazil, Chile, Colombia, Ecuador, Falkland Islands (Islas Malvinas), French Guiana, Guyana, Paraguay, Peru, Suriname, Uruguay, Venezuela</x:v>
      </x:c>
      <x:c r="H35" s="29" t="str">
        <x:v>Select shipping serviceで該当サービスが選べる場合は選択。選べない場合は旧成功例を優先。</x:v>
      </x:c>
    </x:row>
    <x:row r="36">
      <x:c r="A36" s="29" t="str">
        <x:v>500g</x:v>
      </x:c>
      <x:c r="B36" s="29" t="str">
        <x:v>SPK-UK</x:v>
      </x:c>
      <x:c r="C36" s="29" t="str">
        <x:v>United Kingdom</x:v>
      </x:c>
      <x:c r="D36" s="29" t="str">
        <x:v>eBay SpeedPAK Economy</x:v>
      </x:c>
      <x:c r="E36" s="30" t="n">
        <x:v>2600</x:v>
      </x:c>
      <x:c r="F36" s="31" t="n">
        <x:f>ROUNDUP(E36/'設定・注意'!$B$4,0)-0.01</x:f>
        <x:v>17.99</x:v>
      </x:c>
      <x:c r="G36" s="29" t="str">
        <x:v>United Kingdomのみ</x:v>
      </x:c>
      <x:c r="H36" s="29" t="str">
        <x:v>Select shipping serviceで該当サービスが選べる場合は選択。選べない場合は旧成功例を優先。</x:v>
      </x:c>
    </x:row>
    <x:row r="37">
      <x:c r="A37" s="29" t="str">
        <x:v>500g</x:v>
      </x:c>
      <x:c r="B37" s="29" t="str">
        <x:v>SPK-DE</x:v>
      </x:c>
      <x:c r="C37" s="29" t="str">
        <x:v>Germany</x:v>
      </x:c>
      <x:c r="D37" s="29" t="str">
        <x:v>eBay SpeedPAK Economy</x:v>
      </x:c>
      <x:c r="E37" s="30" t="n">
        <x:v>3800</x:v>
      </x:c>
      <x:c r="F37" s="31" t="n">
        <x:f>ROUNDUP(E37/'設定・注意'!$B$4,0)-0.01</x:f>
        <x:v>26.99</x:v>
      </x:c>
      <x:c r="G37" s="29" t="str">
        <x:v>Germanyのみ</x:v>
      </x:c>
      <x:c r="H37" s="29" t="str">
        <x:v>Select shipping serviceで該当サービスが選べる場合は選択。選べない場合は旧成功例を優先。</x:v>
      </x:c>
    </x:row>
    <x:row r="38">
      <x:c r="A38" s="29" t="str">
        <x:v>500g</x:v>
      </x:c>
      <x:c r="B38" s="29" t="str">
        <x:v>SPK-AU</x:v>
      </x:c>
      <x:c r="C38" s="29" t="str">
        <x:v>Australia</x:v>
      </x:c>
      <x:c r="D38" s="29" t="str">
        <x:v>eBay SpeedPAK Economy</x:v>
      </x:c>
      <x:c r="E38" s="30" t="n">
        <x:v>2700</x:v>
      </x:c>
      <x:c r="F38" s="31" t="n">
        <x:f>ROUNDUP(E38/'設定・注意'!$B$4,0)-0.01</x:f>
        <x:v>18.99</x:v>
      </x:c>
      <x:c r="G38" s="29" t="str">
        <x:v>Australiaのみ</x:v>
      </x:c>
      <x:c r="H38" s="29" t="str">
        <x:v>Select shipping serviceで該当サービスが選べる場合は選択。選べない場合は旧成功例を優先。</x:v>
      </x:c>
    </x:row>
    <x:row r="39">
      <x:c r="A39" s="29" t="str">
        <x:v>500g</x:v>
      </x:c>
      <x:c r="B39" s="29" t="str">
        <x:v>JP-Z1</x:v>
      </x:c>
      <x:c r="C39" s="29" t="str">
        <x:v>日本郵便 第1地帯</x:v>
      </x:c>
      <x:c r="D39" s="29" t="str">
        <x:v>Economy International Shipping</x:v>
      </x:c>
      <x:c r="E39" s="30" t="n">
        <x:v>1700</x:v>
      </x:c>
      <x:c r="F39" s="31" t="n">
        <x:f>ROUNDUP(E39/'設定・注意'!$B$4,0)-0.01</x:f>
        <x:v>11.99</x:v>
      </x:c>
      <x:c r="G39" s="29" t="str">
        <x:v>Asia - China, Korea, South
Southeast Asia - Taiwan</x:v>
      </x:c>
      <x:c r="H39" s="29" t="str">
        <x:v>Select shipping serviceで該当サービスが選べる場合は選択。選べない場合は旧成功例を優先。</x:v>
      </x:c>
    </x:row>
    <x:row r="40">
      <x:c r="A40" s="29" t="str">
        <x:v>500g</x:v>
      </x:c>
      <x:c r="B40" s="29" t="str">
        <x:v>JP-Z2</x:v>
      </x:c>
      <x:c r="C40" s="29" t="str">
        <x:v>日本郵便 第2地帯</x:v>
      </x:c>
      <x:c r="D40" s="29" t="str">
        <x:v>Economy International Shipping</x:v>
      </x:c>
      <x:c r="E40" s="30" t="n">
        <x:v>1800</x:v>
      </x:c>
      <x:c r="F40" s="31" t="n">
        <x:f>ROUNDUP(E40/'設定・注意'!$B$4,0)-0.01</x:f>
        <x:v>12.99</x:v>
      </x:c>
      <x:c r="G40" s="29" t="str">
        <x:v>Asia - Afghanistan, Armenia, Azerbaijan Republic, Bangladesh, Bhutan, Georgia, India, Kazakhstan, Kyrgyzstan, Maldives, Mongolia, Nepal, Pakistan, Sri Lanka, Tajikistan, Turkmenistan, Uzbekistan
Southeast Asia - Brunei Darussalam, Cambodia, Hong Kong, Indonesia, Laos, Macau, Malaysia, Philippines, Singapore, Thailand, Vietnam</x:v>
      </x:c>
      <x:c r="H40" s="29" t="str">
        <x:v>Select shipping serviceで該当サービスが選べる場合は選択。選べない場合は旧成功例を優先。</x:v>
      </x:c>
    </x:row>
    <x:row r="41">
      <x:c r="A41" s="29" t="str">
        <x:v>500g</x:v>
      </x:c>
      <x:c r="B41" s="29" t="str">
        <x:v>JP-Z3</x:v>
      </x:c>
      <x:c r="C41" s="29" t="str">
        <x:v>日本郵便 第3地帯</x:v>
      </x:c>
      <x:c r="D41" s="29" t="str">
        <x:v>Economy International Shipping</x:v>
      </x:c>
      <x:c r="E41" s="30" t="n">
        <x:v>2300</x:v>
      </x:c>
      <x:c r="F41" s="31" t="n">
        <x:f>ROUNDUP(E41/'設定・注意'!$B$4,0)-0.01</x:f>
        <x:v>15.99</x:v>
      </x:c>
      <x:c r="G41" s="29" t="str">
        <x:v>Europe (including UK) - Albania, Andorra, Austria, Belarus, Belgium, Bosnia and Herzegovina, Bulgaria, Croatia, Republic of, Cyprus, Czech Republic, Denmark, Estonia, Finland, France, Gibraltar, Greece, Guernsey, Hungary, Iceland, Ireland, Italy, Jersey, Latvia, Liechtenstein, Lithuania, Luxembourg, Macedonia, Malta, Moldova, Monaco, Montenegro, Netherlands, Norway, Poland, Portugal, Romania, Russian Federation, San Marino, Serbia, Slovakia, Slovenia, Spain, Svalbard and Jan Mayen, Sweden, Switzerland, Ukraine, Vatican City State
Middle East - Bahrain, Iraq, Israel, Jordan, Kuwait, Lebanon, Oman, Qatar, Saudi Arabia, Turkey, United Arab Emirates, Yemen
North America - Bermuda, Canada, Greenland, Mexico, Saint Pierre and Miquelon
Oceania - Cook Islands, Fiji, French Polynesia, Kiribati, Marshall Islands, Micronesia, Nauru, New Caledonia, New Zealand, Niue, Palau, Papua New Guinea, Solomon Islands, Tonga, Tuvalu, Vanuatu, Wallis and Futuna, Western Samoa</x:v>
      </x:c>
      <x:c r="H41" s="29" t="str">
        <x:v>Select shipping serviceで該当サービスが選べる場合は選択。選べない場合は旧成功例を優先。</x:v>
      </x:c>
    </x:row>
    <x:row r="42">
      <x:c r="A42" s="29" t="str">
        <x:v>500g</x:v>
      </x:c>
      <x:c r="B42" s="29" t="str">
        <x:v>JP-Z4</x:v>
      </x:c>
      <x:c r="C42" s="29" t="str">
        <x:v>日本郵便 第4地帯（米国領）</x:v>
      </x:c>
      <x:c r="D42" s="29" t="str">
        <x:v>Economy International Shipping</x:v>
      </x:c>
      <x:c r="E42" s="30" t="n">
        <x:v>2800</x:v>
      </x:c>
      <x:c r="F42" s="31" t="n">
        <x:f>ROUNDUP(E42/'設定・注意'!$B$4,0)-0.01</x:f>
        <x:v>19.99</x:v>
      </x:c>
      <x:c r="G42" s="29" t="str">
        <x:v>Central America and Caribbean - Puerto Rico, Virgin Islands (U.S.)
Oceania - American Samoa, Guam</x:v>
      </x:c>
      <x:c r="H42" s="29" t="str">
        <x:v>Select shipping serviceで該当サービスが選べる場合は選択。選べない場合は旧成功例を優先。</x:v>
      </x:c>
    </x:row>
    <x:row r="43">
      <x:c r="A43" s="29" t="str">
        <x:v>500g</x:v>
      </x:c>
      <x:c r="B43" s="29" t="str">
        <x:v>JP-Z5</x:v>
      </x:c>
      <x:c r="C43" s="29" t="str">
        <x:v>日本郵便 第5地帯</x:v>
      </x:c>
      <x:c r="D43" s="29" t="str">
        <x:v>Economy International Shipping</x:v>
      </x:c>
      <x:c r="E43" s="30" t="n">
        <x:v>2700</x:v>
      </x:c>
      <x:c r="F43" s="31" t="n">
        <x:f>ROUNDUP(E43/'設定・注意'!$B$4,0)-0.01</x:f>
        <x:v>18.99</x:v>
      </x:c>
      <x:c r="G43" s="29" t="str">
        <x:v>Africa - Algeria, Angola, Benin, Botswana, Burkina Faso, Burundi, Cameroon, Cape Verde Islands, Central African Republic, Chad, Comoros, Congo, Democratic Republic of the, Congo, Republic of the, Côte d'Ivoire (Ivory Coast), Djibouti, Egypt, Equatorial Guinea, Eritrea, Ethiopia, Gabon Republic, Gambia, Ghana, Guinea, Guinea-Bissau, Kenya, Lesotho, Liberia, Libya, Madagascar, Malawi, Mali, Mauritania, Mauritius, Mayotte, Morocco, Mozambique, Namibia, Niger, Nigeria, Reunion, Rwanda, Saint Helena, Senegal, Seychelles, Sierra Leone, Somalia, South Africa, Swaziland, Tanzania, Togo, Tunisia, Uganda, Western Sahara, Zambia, Zimbabwe
Central America and Caribbean - Anguilla, Antigua and Barbuda, Aruba, Bahamas, Barbados, Belize, British Virgin Islands, Cayman Islands, Costa Rica, Dominica, Dominican Republic, El Salvador, Grenada, Guadeloupe, Guatemala, Haiti, Honduras, Jamaica, Martinique, Montserrat, Netherlands Antilles, Nicaragua, Panama, Saint Kitts-Nevis, Saint Lucia, Saint Vincent and the Grenadines, Trinidad and Tobago, Turks and Caicos Islands
South America - Argentina, Bolivia, Brazil, Chile, Colombia, Ecuador, Falkland Islands (Islas Malvinas), French Guiana, Guyana, Paraguay, Peru, Suriname, Uruguay, Venezuela</x:v>
      </x:c>
      <x:c r="H43" s="29" t="str">
        <x:v>Select shipping serviceで該当サービスが選べる場合は選択。選べない場合は旧成功例を優先。</x:v>
      </x:c>
    </x:row>
    <x:row r="44">
      <x:c r="A44" s="29" t="str">
        <x:v>600g</x:v>
      </x:c>
      <x:c r="B44" s="29" t="str">
        <x:v>SPK-UK</x:v>
      </x:c>
      <x:c r="C44" s="29" t="str">
        <x:v>United Kingdom</x:v>
      </x:c>
      <x:c r="D44" s="29" t="str">
        <x:v>eBay SpeedPAK Economy</x:v>
      </x:c>
      <x:c r="E44" s="30" t="n">
        <x:v>2800</x:v>
      </x:c>
      <x:c r="F44" s="31" t="n">
        <x:f>ROUNDUP(E44/'設定・注意'!$B$4,0)-0.01</x:f>
        <x:v>19.99</x:v>
      </x:c>
      <x:c r="G44" s="29" t="str">
        <x:v>United Kingdomのみ</x:v>
      </x:c>
      <x:c r="H44" s="29" t="str">
        <x:v>Select shipping serviceで該当サービスが選べる場合は選択。選べない場合は旧成功例を優先。</x:v>
      </x:c>
    </x:row>
    <x:row r="45">
      <x:c r="A45" s="29" t="str">
        <x:v>600g</x:v>
      </x:c>
      <x:c r="B45" s="29" t="str">
        <x:v>SPK-DE</x:v>
      </x:c>
      <x:c r="C45" s="29" t="str">
        <x:v>Germany</x:v>
      </x:c>
      <x:c r="D45" s="29" t="str">
        <x:v>eBay SpeedPAK Economy</x:v>
      </x:c>
      <x:c r="E45" s="30" t="n">
        <x:v>4100</x:v>
      </x:c>
      <x:c r="F45" s="31" t="n">
        <x:f>ROUNDUP(E45/'設定・注意'!$B$4,0)-0.01</x:f>
        <x:v>28.99</x:v>
      </x:c>
      <x:c r="G45" s="29" t="str">
        <x:v>Germanyのみ</x:v>
      </x:c>
      <x:c r="H45" s="29" t="str">
        <x:v>Select shipping serviceで該当サービスが選べる場合は選択。選べない場合は旧成功例を優先。</x:v>
      </x:c>
    </x:row>
    <x:row r="46">
      <x:c r="A46" s="29" t="str">
        <x:v>600g</x:v>
      </x:c>
      <x:c r="B46" s="29" t="str">
        <x:v>SPK-AU</x:v>
      </x:c>
      <x:c r="C46" s="29" t="str">
        <x:v>Australia</x:v>
      </x:c>
      <x:c r="D46" s="29" t="str">
        <x:v>eBay SpeedPAK Economy</x:v>
      </x:c>
      <x:c r="E46" s="30" t="n">
        <x:v>2900</x:v>
      </x:c>
      <x:c r="F46" s="31" t="n">
        <x:f>ROUNDUP(E46/'設定・注意'!$B$4,0)-0.01</x:f>
        <x:v>19.99</x:v>
      </x:c>
      <x:c r="G46" s="29" t="str">
        <x:v>Australiaのみ</x:v>
      </x:c>
      <x:c r="H46" s="29" t="str">
        <x:v>Select shipping serviceで該当サービスが選べる場合は選択。選べない場合は旧成功例を優先。</x:v>
      </x:c>
    </x:row>
    <x:row r="47">
      <x:c r="A47" s="29" t="str">
        <x:v>600g</x:v>
      </x:c>
      <x:c r="B47" s="29" t="str">
        <x:v>JP-Z1</x:v>
      </x:c>
      <x:c r="C47" s="29" t="str">
        <x:v>日本郵便 第1地帯</x:v>
      </x:c>
      <x:c r="D47" s="29" t="str">
        <x:v>Economy International Shipping</x:v>
      </x:c>
      <x:c r="E47" s="30" t="n">
        <x:v>1800</x:v>
      </x:c>
      <x:c r="F47" s="31" t="n">
        <x:f>ROUNDUP(E47/'設定・注意'!$B$4,0)-0.01</x:f>
        <x:v>12.99</x:v>
      </x:c>
      <x:c r="G47" s="29" t="str">
        <x:v>Asia - China, Korea, South
Southeast Asia - Taiwan</x:v>
      </x:c>
      <x:c r="H47" s="29" t="str">
        <x:v>Select shipping serviceで該当サービスが選べる場合は選択。選べない場合は旧成功例を優先。</x:v>
      </x:c>
    </x:row>
    <x:row r="48">
      <x:c r="A48" s="29" t="str">
        <x:v>600g</x:v>
      </x:c>
      <x:c r="B48" s="29" t="str">
        <x:v>JP-Z2</x:v>
      </x:c>
      <x:c r="C48" s="29" t="str">
        <x:v>日本郵便 第2地帯</x:v>
      </x:c>
      <x:c r="D48" s="29" t="str">
        <x:v>Economy International Shipping</x:v>
      </x:c>
      <x:c r="E48" s="30" t="n">
        <x:v>2000</x:v>
      </x:c>
      <x:c r="F48" s="31" t="n">
        <x:f>ROUNDUP(E48/'設定・注意'!$B$4,0)-0.01</x:f>
        <x:v>13.99</x:v>
      </x:c>
      <x:c r="G48" s="29" t="str">
        <x:v>Asia - Afghanistan, Armenia, Azerbaijan Republic, Bangladesh, Bhutan, Georgia, India, Kazakhstan, Kyrgyzstan, Maldives, Mongolia, Nepal, Pakistan, Sri Lanka, Tajikistan, Turkmenistan, Uzbekistan
Southeast Asia - Brunei Darussalam, Cambodia, Hong Kong, Indonesia, Laos, Macau, Malaysia, Philippines, Singapore, Thailand, Vietnam</x:v>
      </x:c>
      <x:c r="H48" s="29" t="str">
        <x:v>Select shipping serviceで該当サービスが選べる場合は選択。選べない場合は旧成功例を優先。</x:v>
      </x:c>
    </x:row>
    <x:row r="49">
      <x:c r="A49" s="29" t="str">
        <x:v>600g</x:v>
      </x:c>
      <x:c r="B49" s="29" t="str">
        <x:v>JP-Z3</x:v>
      </x:c>
      <x:c r="C49" s="29" t="str">
        <x:v>日本郵便 第3地帯</x:v>
      </x:c>
      <x:c r="D49" s="29" t="str">
        <x:v>Economy International Shipping</x:v>
      </x:c>
      <x:c r="E49" s="30" t="n">
        <x:v>2500</x:v>
      </x:c>
      <x:c r="F49" s="31" t="n">
        <x:f>ROUNDUP(E49/'設定・注意'!$B$4,0)-0.01</x:f>
        <x:v>17.99</x:v>
      </x:c>
      <x:c r="G49" s="29" t="str">
        <x:v>Europe (including UK) - Albania, Andorra, Austria, Belarus, Belgium, Bosnia and Herzegovina, Bulgaria, Croatia, Republic of, Cyprus, Czech Republic, Denmark, Estonia, Finland, France, Gibraltar, Greece, Guernsey, Hungary, Iceland, Ireland, Italy, Jersey, Latvia, Liechtenstein, Lithuania, Luxembourg, Macedonia, Malta, Moldova, Monaco, Montenegro, Netherlands, Norway, Poland, Portugal, Romania, Russian Federation, San Marino, Serbia, Slovakia, Slovenia, Spain, Svalbard and Jan Mayen, Sweden, Switzerland, Ukraine, Vatican City State
Middle East - Bahrain, Iraq, Israel, Jordan, Kuwait, Lebanon, Oman, Qatar, Saudi Arabia, Turkey, United Arab Emirates, Yemen
North America - Bermuda, Canada, Greenland, Mexico, Saint Pierre and Miquelon
Oceania - Cook Islands, Fiji, French Polynesia, Kiribati, Marshall Islands, Micronesia, Nauru, New Caledonia, New Zealand, Niue, Palau, Papua New Guinea, Solomon Islands, Tonga, Tuvalu, Vanuatu, Wallis and Futuna, Western Samoa</x:v>
      </x:c>
      <x:c r="H49" s="29" t="str">
        <x:v>Select shipping serviceで該当サービスが選べる場合は選択。選べない場合は旧成功例を優先。</x:v>
      </x:c>
    </x:row>
    <x:row r="50">
      <x:c r="A50" s="29" t="str">
        <x:v>600g</x:v>
      </x:c>
      <x:c r="B50" s="29" t="str">
        <x:v>JP-Z4</x:v>
      </x:c>
      <x:c r="C50" s="29" t="str">
        <x:v>日本郵便 第4地帯（米国領）</x:v>
      </x:c>
      <x:c r="D50" s="29" t="str">
        <x:v>Economy International Shipping</x:v>
      </x:c>
      <x:c r="E50" s="30" t="n">
        <x:v>3000</x:v>
      </x:c>
      <x:c r="F50" s="31" t="n">
        <x:f>ROUNDUP(E50/'設定・注意'!$B$4,0)-0.01</x:f>
        <x:v>20.99</x:v>
      </x:c>
      <x:c r="G50" s="29" t="str">
        <x:v>Central America and Caribbean - Puerto Rico, Virgin Islands (U.S.)
Oceania - American Samoa, Guam</x:v>
      </x:c>
      <x:c r="H50" s="29" t="str">
        <x:v>Select shipping serviceで該当サービスが選べる場合は選択。選べない場合は旧成功例を優先。</x:v>
      </x:c>
    </x:row>
    <x:row r="51">
      <x:c r="A51" s="29" t="str">
        <x:v>600g</x:v>
      </x:c>
      <x:c r="B51" s="29" t="str">
        <x:v>JP-Z5</x:v>
      </x:c>
      <x:c r="C51" s="29" t="str">
        <x:v>日本郵便 第5地帯</x:v>
      </x:c>
      <x:c r="D51" s="29" t="str">
        <x:v>Economy International Shipping</x:v>
      </x:c>
      <x:c r="E51" s="30" t="n">
        <x:v>3000</x:v>
      </x:c>
      <x:c r="F51" s="31" t="n">
        <x:f>ROUNDUP(E51/'設定・注意'!$B$4,0)-0.01</x:f>
        <x:v>20.99</x:v>
      </x:c>
      <x:c r="G51" s="29" t="str">
        <x:v>Africa - Algeria, Angola, Benin, Botswana, Burkina Faso, Burundi, Cameroon, Cape Verde Islands, Central African Republic, Chad, Comoros, Congo, Democratic Republic of the, Congo, Republic of the, Côte d'Ivoire (Ivory Coast), Djibouti, Egypt, Equatorial Guinea, Eritrea, Ethiopia, Gabon Republic, Gambia, Ghana, Guinea, Guinea-Bissau, Kenya, Lesotho, Liberia, Libya, Madagascar, Malawi, Mali, Mauritania, Mauritius, Mayotte, Morocco, Mozambique, Namibia, Niger, Nigeria, Reunion, Rwanda, Saint Helena, Senegal, Seychelles, Sierra Leone, Somalia, South Africa, Swaziland, Tanzania, Togo, Tunisia, Uganda, Western Sahara, Zambia, Zimbabwe
Central America and Caribbean - Anguilla, Antigua and Barbuda, Aruba, Bahamas, Barbados, Belize, British Virgin Islands, Cayman Islands, Costa Rica, Dominica, Dominican Republic, El Salvador, Grenada, Guadeloupe, Guatemala, Haiti, Honduras, Jamaica, Martinique, Montserrat, Netherlands Antilles, Nicaragua, Panama, Saint Kitts-Nevis, Saint Lucia, Saint Vincent and the Grenadines, Trinidad and Tobago, Turks and Caicos Islands
South America - Argentina, Bolivia, Brazil, Chile, Colombia, Ecuador, Falkland Islands (Islas Malvinas), French Guiana, Guyana, Paraguay, Peru, Suriname, Uruguay, Venezuela</x:v>
      </x:c>
      <x:c r="H51" s="29" t="str">
        <x:v>Select shipping serviceで該当サービスが選べる場合は選択。選べない場合は旧成功例を優先。</x:v>
      </x:c>
    </x:row>
    <x:row r="52">
      <x:c r="A52" s="29" t="str">
        <x:v>700g</x:v>
      </x:c>
      <x:c r="B52" s="29" t="str">
        <x:v>SPK-UK</x:v>
      </x:c>
      <x:c r="C52" s="29" t="str">
        <x:v>United Kingdom</x:v>
      </x:c>
      <x:c r="D52" s="29" t="str">
        <x:v>eBay SpeedPAK Economy</x:v>
      </x:c>
      <x:c r="E52" s="30" t="n">
        <x:v>3000</x:v>
      </x:c>
      <x:c r="F52" s="31" t="n">
        <x:f>ROUNDUP(E52/'設定・注意'!$B$4,0)-0.01</x:f>
        <x:v>20.99</x:v>
      </x:c>
      <x:c r="G52" s="29" t="str">
        <x:v>United Kingdomのみ</x:v>
      </x:c>
      <x:c r="H52" s="29" t="str">
        <x:v>Select shipping serviceで該当サービスが選べる場合は選択。選べない場合は旧成功例を優先。</x:v>
      </x:c>
    </x:row>
    <x:row r="53">
      <x:c r="A53" s="29" t="str">
        <x:v>700g</x:v>
      </x:c>
      <x:c r="B53" s="29" t="str">
        <x:v>SPK-DE</x:v>
      </x:c>
      <x:c r="C53" s="29" t="str">
        <x:v>Germany</x:v>
      </x:c>
      <x:c r="D53" s="29" t="str">
        <x:v>eBay SpeedPAK Economy</x:v>
      </x:c>
      <x:c r="E53" s="30" t="n">
        <x:v>4400</x:v>
      </x:c>
      <x:c r="F53" s="31" t="n">
        <x:f>ROUNDUP(E53/'設定・注意'!$B$4,0)-0.01</x:f>
        <x:v>30.99</x:v>
      </x:c>
      <x:c r="G53" s="29" t="str">
        <x:v>Germanyのみ</x:v>
      </x:c>
      <x:c r="H53" s="29" t="str">
        <x:v>Select shipping serviceで該当サービスが選べる場合は選択。選べない場合は旧成功例を優先。</x:v>
      </x:c>
    </x:row>
    <x:row r="54">
      <x:c r="A54" s="29" t="str">
        <x:v>700g</x:v>
      </x:c>
      <x:c r="B54" s="29" t="str">
        <x:v>SPK-AU</x:v>
      </x:c>
      <x:c r="C54" s="29" t="str">
        <x:v>Australia</x:v>
      </x:c>
      <x:c r="D54" s="29" t="str">
        <x:v>eBay SpeedPAK Economy</x:v>
      </x:c>
      <x:c r="E54" s="30" t="n">
        <x:v>3000</x:v>
      </x:c>
      <x:c r="F54" s="31" t="n">
        <x:f>ROUNDUP(E54/'設定・注意'!$B$4,0)-0.01</x:f>
        <x:v>20.99</x:v>
      </x:c>
      <x:c r="G54" s="29" t="str">
        <x:v>Australiaのみ</x:v>
      </x:c>
      <x:c r="H54" s="29" t="str">
        <x:v>Select shipping serviceで該当サービスが選べる場合は選択。選べない場合は旧成功例を優先。</x:v>
      </x:c>
    </x:row>
    <x:row r="55">
      <x:c r="A55" s="29" t="str">
        <x:v>700g</x:v>
      </x:c>
      <x:c r="B55" s="29" t="str">
        <x:v>JP-Z1</x:v>
      </x:c>
      <x:c r="C55" s="29" t="str">
        <x:v>日本郵便 第1地帯</x:v>
      </x:c>
      <x:c r="D55" s="29" t="str">
        <x:v>Economy International Shipping</x:v>
      </x:c>
      <x:c r="E55" s="30" t="n">
        <x:v>2000</x:v>
      </x:c>
      <x:c r="F55" s="31" t="n">
        <x:f>ROUNDUP(E55/'設定・注意'!$B$4,0)-0.01</x:f>
        <x:v>13.99</x:v>
      </x:c>
      <x:c r="G55" s="29" t="str">
        <x:v>Asia - China, Korea, South
Southeast Asia - Taiwan</x:v>
      </x:c>
      <x:c r="H55" s="29" t="str">
        <x:v>Select shipping serviceで該当サービスが選べる場合は選択。選べない場合は旧成功例を優先。</x:v>
      </x:c>
    </x:row>
    <x:row r="56">
      <x:c r="A56" s="29" t="str">
        <x:v>700g</x:v>
      </x:c>
      <x:c r="B56" s="29" t="str">
        <x:v>JP-Z2</x:v>
      </x:c>
      <x:c r="C56" s="29" t="str">
        <x:v>日本郵便 第2地帯</x:v>
      </x:c>
      <x:c r="D56" s="29" t="str">
        <x:v>Economy International Shipping</x:v>
      </x:c>
      <x:c r="E56" s="30" t="n">
        <x:v>2100</x:v>
      </x:c>
      <x:c r="F56" s="31" t="n">
        <x:f>ROUNDUP(E56/'設定・注意'!$B$4,0)-0.01</x:f>
        <x:v>14.99</x:v>
      </x:c>
      <x:c r="G56" s="29" t="str">
        <x:v>Asia - Afghanistan, Armenia, Azerbaijan Republic, Bangladesh, Bhutan, Georgia, India, Kazakhstan, Kyrgyzstan, Maldives, Mongolia, Nepal, Pakistan, Sri Lanka, Tajikistan, Turkmenistan, Uzbekistan
Southeast Asia - Brunei Darussalam, Cambodia, Hong Kong, Indonesia, Laos, Macau, Malaysia, Philippines, Singapore, Thailand, Vietnam</x:v>
      </x:c>
      <x:c r="H56" s="29" t="str">
        <x:v>Select shipping serviceで該当サービスが選べる場合は選択。選べない場合は旧成功例を優先。</x:v>
      </x:c>
    </x:row>
    <x:row r="57">
      <x:c r="A57" s="29" t="str">
        <x:v>700g</x:v>
      </x:c>
      <x:c r="B57" s="29" t="str">
        <x:v>JP-Z3</x:v>
      </x:c>
      <x:c r="C57" s="29" t="str">
        <x:v>日本郵便 第3地帯</x:v>
      </x:c>
      <x:c r="D57" s="29" t="str">
        <x:v>Economy International Shipping</x:v>
      </x:c>
      <x:c r="E57" s="30" t="n">
        <x:v>2700</x:v>
      </x:c>
      <x:c r="F57" s="31" t="n">
        <x:f>ROUNDUP(E57/'設定・注意'!$B$4,0)-0.01</x:f>
        <x:v>18.99</x:v>
      </x:c>
      <x:c r="G57" s="29" t="str">
        <x:v>Europe (including UK) - Albania, Andorra, Austria, Belarus, Belgium, Bosnia and Herzegovina, Bulgaria, Croatia, Republic of, Cyprus, Czech Republic, Denmark, Estonia, Finland, France, Gibraltar, Greece, Guernsey, Hungary, Iceland, Ireland, Italy, Jersey, Latvia, Liechtenstein, Lithuania, Luxembourg, Macedonia, Malta, Moldova, Monaco, Montenegro, Netherlands, Norway, Poland, Portugal, Romania, Russian Federation, San Marino, Serbia, Slovakia, Slovenia, Spain, Svalbard and Jan Mayen, Sweden, Switzerland, Ukraine, Vatican City State
Middle East - Bahrain, Iraq, Israel, Jordan, Kuwait, Lebanon, Oman, Qatar, Saudi Arabia, Turkey, United Arab Emirates, Yemen
North America - Bermuda, Canada, Greenland, Mexico, Saint Pierre and Miquelon
Oceania - Cook Islands, Fiji, French Polynesia, Kiribati, Marshall Islands, Micronesia, Nauru, New Caledonia, New Zealand, Niue, Palau, Papua New Guinea, Solomon Islands, Tonga, Tuvalu, Vanuatu, Wallis and Futuna, Western Samoa</x:v>
      </x:c>
      <x:c r="H57" s="29" t="str">
        <x:v>Select shipping serviceで該当サービスが選べる場合は選択。選べない場合は旧成功例を優先。</x:v>
      </x:c>
    </x:row>
    <x:row r="58">
      <x:c r="A58" s="29" t="str">
        <x:v>700g</x:v>
      </x:c>
      <x:c r="B58" s="29" t="str">
        <x:v>JP-Z4</x:v>
      </x:c>
      <x:c r="C58" s="29" t="str">
        <x:v>日本郵便 第4地帯（米国領）</x:v>
      </x:c>
      <x:c r="D58" s="29" t="str">
        <x:v>Economy International Shipping</x:v>
      </x:c>
      <x:c r="E58" s="30" t="n">
        <x:v>3300</x:v>
      </x:c>
      <x:c r="F58" s="31" t="n">
        <x:f>ROUNDUP(E58/'設定・注意'!$B$4,0)-0.01</x:f>
        <x:v>22.99</x:v>
      </x:c>
      <x:c r="G58" s="29" t="str">
        <x:v>Central America and Caribbean - Puerto Rico, Virgin Islands (U.S.)
Oceania - American Samoa, Guam</x:v>
      </x:c>
      <x:c r="H58" s="29" t="str">
        <x:v>Select shipping serviceで該当サービスが選べる場合は選択。選べない場合は旧成功例を優先。</x:v>
      </x:c>
    </x:row>
    <x:row r="59">
      <x:c r="A59" s="29" t="str">
        <x:v>700g</x:v>
      </x:c>
      <x:c r="B59" s="29" t="str">
        <x:v>JP-Z5</x:v>
      </x:c>
      <x:c r="C59" s="29" t="str">
        <x:v>日本郵便 第5地帯</x:v>
      </x:c>
      <x:c r="D59" s="29" t="str">
        <x:v>Economy International Shipping</x:v>
      </x:c>
      <x:c r="E59" s="30" t="n">
        <x:v>3300</x:v>
      </x:c>
      <x:c r="F59" s="31" t="n">
        <x:f>ROUNDUP(E59/'設定・注意'!$B$4,0)-0.01</x:f>
        <x:v>22.99</x:v>
      </x:c>
      <x:c r="G59" s="29" t="str">
        <x:v>Africa - Algeria, Angola, Benin, Botswana, Burkina Faso, Burundi, Cameroon, Cape Verde Islands, Central African Republic, Chad, Comoros, Congo, Democratic Republic of the, Congo, Republic of the, Côte d'Ivoire (Ivory Coast), Djibouti, Egypt, Equatorial Guinea, Eritrea, Ethiopia, Gabon Republic, Gambia, Ghana, Guinea, Guinea-Bissau, Kenya, Lesotho, Liberia, Libya, Madagascar, Malawi, Mali, Mauritania, Mauritius, Mayotte, Morocco, Mozambique, Namibia, Niger, Nigeria, Reunion, Rwanda, Saint Helena, Senegal, Seychelles, Sierra Leone, Somalia, South Africa, Swaziland, Tanzania, Togo, Tunisia, Uganda, Western Sahara, Zambia, Zimbabwe
Central America and Caribbean - Anguilla, Antigua and Barbuda, Aruba, Bahamas, Barbados, Belize, British Virgin Islands, Cayman Islands, Costa Rica, Dominica, Dominican Republic, El Salvador, Grenada, Guadeloupe, Guatemala, Haiti, Honduras, Jamaica, Martinique, Montserrat, Netherlands Antilles, Nicaragua, Panama, Saint Kitts-Nevis, Saint Lucia, Saint Vincent and the Grenadines, Trinidad and Tobago, Turks and Caicos Islands
South America - Argentina, Bolivia, Brazil, Chile, Colombia, Ecuador, Falkland Islands (Islas Malvinas), French Guiana, Guyana, Paraguay, Peru, Suriname, Uruguay, Venezuela</x:v>
      </x:c>
      <x:c r="H59" s="29" t="str">
        <x:v>Select shipping serviceで該当サービスが選べる場合は選択。選べない場合は旧成功例を優先。</x:v>
      </x:c>
    </x:row>
    <x:row r="60">
      <x:c r="A60" s="29" t="str">
        <x:v>800g</x:v>
      </x:c>
      <x:c r="B60" s="29" t="str">
        <x:v>SPK-UK</x:v>
      </x:c>
      <x:c r="C60" s="29" t="str">
        <x:v>United Kingdom</x:v>
      </x:c>
      <x:c r="D60" s="29" t="str">
        <x:v>eBay SpeedPAK Economy</x:v>
      </x:c>
      <x:c r="E60" s="30" t="n">
        <x:v>3100</x:v>
      </x:c>
      <x:c r="F60" s="31" t="n">
        <x:f>ROUNDUP(E60/'設定・注意'!$B$4,0)-0.01</x:f>
        <x:v>21.99</x:v>
      </x:c>
      <x:c r="G60" s="29" t="str">
        <x:v>United Kingdomのみ</x:v>
      </x:c>
      <x:c r="H60" s="29" t="str">
        <x:v>Select shipping serviceで該当サービスが選べる場合は選択。選べない場合は旧成功例を優先。</x:v>
      </x:c>
    </x:row>
    <x:row r="61">
      <x:c r="A61" s="29" t="str">
        <x:v>800g</x:v>
      </x:c>
      <x:c r="B61" s="29" t="str">
        <x:v>SPK-DE</x:v>
      </x:c>
      <x:c r="C61" s="29" t="str">
        <x:v>Germany</x:v>
      </x:c>
      <x:c r="D61" s="29" t="str">
        <x:v>eBay SpeedPAK Economy</x:v>
      </x:c>
      <x:c r="E61" s="30" t="n">
        <x:v>5000</x:v>
      </x:c>
      <x:c r="F61" s="31" t="n">
        <x:f>ROUNDUP(E61/'設定・注意'!$B$4,0)-0.01</x:f>
        <x:v>34.99</x:v>
      </x:c>
      <x:c r="G61" s="29" t="str">
        <x:v>Germanyのみ</x:v>
      </x:c>
      <x:c r="H61" s="29" t="str">
        <x:v>Select shipping serviceで該当サービスが選べる場合は選択。選べない場合は旧成功例を優先。</x:v>
      </x:c>
    </x:row>
    <x:row r="62">
      <x:c r="A62" s="29" t="str">
        <x:v>800g</x:v>
      </x:c>
      <x:c r="B62" s="29" t="str">
        <x:v>SPK-AU</x:v>
      </x:c>
      <x:c r="C62" s="29" t="str">
        <x:v>Australia</x:v>
      </x:c>
      <x:c r="D62" s="29" t="str">
        <x:v>eBay SpeedPAK Economy</x:v>
      </x:c>
      <x:c r="E62" s="30" t="n">
        <x:v>3200</x:v>
      </x:c>
      <x:c r="F62" s="31" t="n">
        <x:f>ROUNDUP(E62/'設定・注意'!$B$4,0)-0.01</x:f>
        <x:v>22.99</x:v>
      </x:c>
      <x:c r="G62" s="29" t="str">
        <x:v>Australiaのみ</x:v>
      </x:c>
      <x:c r="H62" s="29" t="str">
        <x:v>Select shipping serviceで該当サービスが選べる場合は選択。選べない場合は旧成功例を優先。</x:v>
      </x:c>
    </x:row>
    <x:row r="63">
      <x:c r="A63" s="29" t="str">
        <x:v>800g</x:v>
      </x:c>
      <x:c r="B63" s="29" t="str">
        <x:v>JP-Z1</x:v>
      </x:c>
      <x:c r="C63" s="29" t="str">
        <x:v>日本郵便 第1地帯</x:v>
      </x:c>
      <x:c r="D63" s="29" t="str">
        <x:v>Economy International Shipping</x:v>
      </x:c>
      <x:c r="E63" s="30" t="n">
        <x:v>2100</x:v>
      </x:c>
      <x:c r="F63" s="31" t="n">
        <x:f>ROUNDUP(E63/'設定・注意'!$B$4,0)-0.01</x:f>
        <x:v>14.99</x:v>
      </x:c>
      <x:c r="G63" s="29" t="str">
        <x:v>Asia - China, Korea, South
Southeast Asia - Taiwan</x:v>
      </x:c>
      <x:c r="H63" s="29" t="str">
        <x:v>Select shipping serviceで該当サービスが選べる場合は選択。選べない場合は旧成功例を優先。</x:v>
      </x:c>
    </x:row>
    <x:row r="64">
      <x:c r="A64" s="29" t="str">
        <x:v>800g</x:v>
      </x:c>
      <x:c r="B64" s="29" t="str">
        <x:v>JP-Z2</x:v>
      </x:c>
      <x:c r="C64" s="29" t="str">
        <x:v>日本郵便 第2地帯</x:v>
      </x:c>
      <x:c r="D64" s="29" t="str">
        <x:v>Economy International Shipping</x:v>
      </x:c>
      <x:c r="E64" s="30" t="n">
        <x:v>2300</x:v>
      </x:c>
      <x:c r="F64" s="31" t="n">
        <x:f>ROUNDUP(E64/'設定・注意'!$B$4,0)-0.01</x:f>
        <x:v>15.99</x:v>
      </x:c>
      <x:c r="G64" s="29" t="str">
        <x:v>Asia - Afghanistan, Armenia, Azerbaijan Republic, Bangladesh, Bhutan, Georgia, India, Kazakhstan, Kyrgyzstan, Maldives, Mongolia, Nepal, Pakistan, Sri Lanka, Tajikistan, Turkmenistan, Uzbekistan
Southeast Asia - Brunei Darussalam, Cambodia, Hong Kong, Indonesia, Laos, Macau, Malaysia, Philippines, Singapore, Thailand, Vietnam</x:v>
      </x:c>
      <x:c r="H64" s="29" t="str">
        <x:v>Select shipping serviceで該当サービスが選べる場合は選択。選べない場合は旧成功例を優先。</x:v>
      </x:c>
    </x:row>
    <x:row r="65">
      <x:c r="A65" s="29" t="str">
        <x:v>800g</x:v>
      </x:c>
      <x:c r="B65" s="29" t="str">
        <x:v>JP-Z3</x:v>
      </x:c>
      <x:c r="C65" s="29" t="str">
        <x:v>日本郵便 第3地帯</x:v>
      </x:c>
      <x:c r="D65" s="29" t="str">
        <x:v>Economy International Shipping</x:v>
      </x:c>
      <x:c r="E65" s="30" t="n">
        <x:v>2900</x:v>
      </x:c>
      <x:c r="F65" s="31" t="n">
        <x:f>ROUNDUP(E65/'設定・注意'!$B$4,0)-0.01</x:f>
        <x:v>19.99</x:v>
      </x:c>
      <x:c r="G65" s="29" t="str">
        <x:v>Europe (including UK) - Albania, Andorra, Austria, Belarus, Belgium, Bosnia and Herzegovina, Bulgaria, Croatia, Republic of, Cyprus, Czech Republic, Denmark, Estonia, Finland, France, Gibraltar, Greece, Guernsey, Hungary, Iceland, Ireland, Italy, Jersey, Latvia, Liechtenstein, Lithuania, Luxembourg, Macedonia, Malta, Moldova, Monaco, Montenegro, Netherlands, Norway, Poland, Portugal, Romania, Russian Federation, San Marino, Serbia, Slovakia, Slovenia, Spain, Svalbard and Jan Mayen, Sweden, Switzerland, Ukraine, Vatican City State
Middle East - Bahrain, Iraq, Israel, Jordan, Kuwait, Lebanon, Oman, Qatar, Saudi Arabia, Turkey, United Arab Emirates, Yemen
North America - Bermuda, Canada, Greenland, Mexico, Saint Pierre and Miquelon
Oceania - Cook Islands, Fiji, French Polynesia, Kiribati, Marshall Islands, Micronesia, Nauru, New Caledonia, New Zealand, Niue, Palau, Papua New Guinea, Solomon Islands, Tonga, Tuvalu, Vanuatu, Wallis and Futuna, Western Samoa</x:v>
      </x:c>
      <x:c r="H65" s="29" t="str">
        <x:v>Select shipping serviceで該当サービスが選べる場合は選択。選べない場合は旧成功例を優先。</x:v>
      </x:c>
    </x:row>
    <x:row r="66">
      <x:c r="A66" s="29" t="str">
        <x:v>800g</x:v>
      </x:c>
      <x:c r="B66" s="29" t="str">
        <x:v>JP-Z4</x:v>
      </x:c>
      <x:c r="C66" s="29" t="str">
        <x:v>日本郵便 第4地帯（米国領）</x:v>
      </x:c>
      <x:c r="D66" s="29" t="str">
        <x:v>Economy International Shipping</x:v>
      </x:c>
      <x:c r="E66" s="30" t="n">
        <x:v>3500</x:v>
      </x:c>
      <x:c r="F66" s="31" t="n">
        <x:f>ROUNDUP(E66/'設定・注意'!$B$4,0)-0.01</x:f>
        <x:v>24.99</x:v>
      </x:c>
      <x:c r="G66" s="29" t="str">
        <x:v>Central America and Caribbean - Puerto Rico, Virgin Islands (U.S.)
Oceania - American Samoa, Guam</x:v>
      </x:c>
      <x:c r="H66" s="29" t="str">
        <x:v>Select shipping serviceで該当サービスが選べる場合は選択。選べない場合は旧成功例を優先。</x:v>
      </x:c>
    </x:row>
    <x:row r="67">
      <x:c r="A67" s="29" t="str">
        <x:v>800g</x:v>
      </x:c>
      <x:c r="B67" s="29" t="str">
        <x:v>JP-Z5</x:v>
      </x:c>
      <x:c r="C67" s="29" t="str">
        <x:v>日本郵便 第5地帯</x:v>
      </x:c>
      <x:c r="D67" s="29" t="str">
        <x:v>Economy International Shipping</x:v>
      </x:c>
      <x:c r="E67" s="30" t="n">
        <x:v>3600</x:v>
      </x:c>
      <x:c r="F67" s="31" t="n">
        <x:f>ROUNDUP(E67/'設定・注意'!$B$4,0)-0.01</x:f>
        <x:v>24.99</x:v>
      </x:c>
      <x:c r="G67" s="29" t="str">
        <x:v>Africa - Algeria, Angola, Benin, Botswana, Burkina Faso, Burundi, Cameroon, Cape Verde Islands, Central African Republic, Chad, Comoros, Congo, Democratic Republic of the, Congo, Republic of the, Côte d'Ivoire (Ivory Coast), Djibouti, Egypt, Equatorial Guinea, Eritrea, Ethiopia, Gabon Republic, Gambia, Ghana, Guinea, Guinea-Bissau, Kenya, Lesotho, Liberia, Libya, Madagascar, Malawi, Mali, Mauritania, Mauritius, Mayotte, Morocco, Mozambique, Namibia, Niger, Nigeria, Reunion, Rwanda, Saint Helena, Senegal, Seychelles, Sierra Leone, Somalia, South Africa, Swaziland, Tanzania, Togo, Tunisia, Uganda, Western Sahara, Zambia, Zimbabwe
Central America and Caribbean - Anguilla, Antigua and Barbuda, Aruba, Bahamas, Barbados, Belize, British Virgin Islands, Cayman Islands, Costa Rica, Dominica, Dominican Republic, El Salvador, Grenada, Guadeloupe, Guatemala, Haiti, Honduras, Jamaica, Martinique, Montserrat, Netherlands Antilles, Nicaragua, Panama, Saint Kitts-Nevis, Saint Lucia, Saint Vincent and the Grenadines, Trinidad and Tobago, Turks and Caicos Islands
South America - Argentina, Bolivia, Brazil, Chile, Colombia, Ecuador, Falkland Islands (Islas Malvinas), French Guiana, Guyana, Paraguay, Peru, Suriname, Uruguay, Venezuela</x:v>
      </x:c>
      <x:c r="H67" s="29" t="str">
        <x:v>Select shipping serviceで該当サービスが選べる場合は選択。選べない場合は旧成功例を優先。</x:v>
      </x:c>
    </x:row>
    <x:row r="68">
      <x:c r="A68" s="29" t="str">
        <x:v>900g</x:v>
      </x:c>
      <x:c r="B68" s="29" t="str">
        <x:v>SPK-UK</x:v>
      </x:c>
      <x:c r="C68" s="29" t="str">
        <x:v>United Kingdom</x:v>
      </x:c>
      <x:c r="D68" s="29" t="str">
        <x:v>eBay SpeedPAK Economy</x:v>
      </x:c>
      <x:c r="E68" s="30" t="n">
        <x:v>3300</x:v>
      </x:c>
      <x:c r="F68" s="31" t="n">
        <x:f>ROUNDUP(E68/'設定・注意'!$B$4,0)-0.01</x:f>
        <x:v>22.99</x:v>
      </x:c>
      <x:c r="G68" s="29" t="str">
        <x:v>United Kingdomのみ</x:v>
      </x:c>
      <x:c r="H68" s="29" t="str">
        <x:v>Select shipping serviceで該当サービスが選べる場合は選択。選べない場合は旧成功例を優先。</x:v>
      </x:c>
    </x:row>
    <x:row r="69">
      <x:c r="A69" s="29" t="str">
        <x:v>900g</x:v>
      </x:c>
      <x:c r="B69" s="29" t="str">
        <x:v>SPK-DE</x:v>
      </x:c>
      <x:c r="C69" s="29" t="str">
        <x:v>Germany</x:v>
      </x:c>
      <x:c r="D69" s="29" t="str">
        <x:v>eBay SpeedPAK Economy</x:v>
      </x:c>
      <x:c r="E69" s="30" t="n">
        <x:v>5300</x:v>
      </x:c>
      <x:c r="F69" s="31" t="n">
        <x:f>ROUNDUP(E69/'設定・注意'!$B$4,0)-0.01</x:f>
        <x:v>36.99</x:v>
      </x:c>
      <x:c r="G69" s="29" t="str">
        <x:v>Germanyのみ</x:v>
      </x:c>
      <x:c r="H69" s="29" t="str">
        <x:v>Select shipping serviceで該当サービスが選べる場合は選択。選べない場合は旧成功例を優先。</x:v>
      </x:c>
    </x:row>
    <x:row r="70">
      <x:c r="A70" s="29" t="str">
        <x:v>900g</x:v>
      </x:c>
      <x:c r="B70" s="29" t="str">
        <x:v>SPK-AU</x:v>
      </x:c>
      <x:c r="C70" s="29" t="str">
        <x:v>Australia</x:v>
      </x:c>
      <x:c r="D70" s="29" t="str">
        <x:v>eBay SpeedPAK Economy</x:v>
      </x:c>
      <x:c r="E70" s="30" t="n">
        <x:v>3300</x:v>
      </x:c>
      <x:c r="F70" s="31" t="n">
        <x:f>ROUNDUP(E70/'設定・注意'!$B$4,0)-0.01</x:f>
        <x:v>22.99</x:v>
      </x:c>
      <x:c r="G70" s="29" t="str">
        <x:v>Australiaのみ</x:v>
      </x:c>
      <x:c r="H70" s="29" t="str">
        <x:v>Select shipping serviceで該当サービスが選べる場合は選択。選べない場合は旧成功例を優先。</x:v>
      </x:c>
    </x:row>
    <x:row r="71">
      <x:c r="A71" s="29" t="str">
        <x:v>900g</x:v>
      </x:c>
      <x:c r="B71" s="29" t="str">
        <x:v>JP-Z1</x:v>
      </x:c>
      <x:c r="C71" s="29" t="str">
        <x:v>日本郵便 第1地帯</x:v>
      </x:c>
      <x:c r="D71" s="29" t="str">
        <x:v>Economy International Shipping</x:v>
      </x:c>
      <x:c r="E71" s="30" t="n">
        <x:v>2200</x:v>
      </x:c>
      <x:c r="F71" s="31" t="n">
        <x:f>ROUNDUP(E71/'設定・注意'!$B$4,0)-0.01</x:f>
        <x:v>15.99</x:v>
      </x:c>
      <x:c r="G71" s="29" t="str">
        <x:v>Asia - China, Korea, South
Southeast Asia - Taiwan</x:v>
      </x:c>
      <x:c r="H71" s="29" t="str">
        <x:v>Select shipping serviceで該当サービスが選べる場合は選択。選べない場合は旧成功例を優先。</x:v>
      </x:c>
    </x:row>
    <x:row r="72">
      <x:c r="A72" s="29" t="str">
        <x:v>900g</x:v>
      </x:c>
      <x:c r="B72" s="29" t="str">
        <x:v>JP-Z2</x:v>
      </x:c>
      <x:c r="C72" s="29" t="str">
        <x:v>日本郵便 第2地帯</x:v>
      </x:c>
      <x:c r="D72" s="29" t="str">
        <x:v>Economy International Shipping</x:v>
      </x:c>
      <x:c r="E72" s="30" t="n">
        <x:v>2400</x:v>
      </x:c>
      <x:c r="F72" s="31" t="n">
        <x:f>ROUNDUP(E72/'設定・注意'!$B$4,0)-0.01</x:f>
        <x:v>16.99</x:v>
      </x:c>
      <x:c r="G72" s="29" t="str">
        <x:v>Asia - Afghanistan, Armenia, Azerbaijan Republic, Bangladesh, Bhutan, Georgia, India, Kazakhstan, Kyrgyzstan, Maldives, Mongolia, Nepal, Pakistan, Sri Lanka, Tajikistan, Turkmenistan, Uzbekistan
Southeast Asia - Brunei Darussalam, Cambodia, Hong Kong, Indonesia, Laos, Macau, Malaysia, Philippines, Singapore, Thailand, Vietnam</x:v>
      </x:c>
      <x:c r="H72" s="29" t="str">
        <x:v>Select shipping serviceで該当サービスが選べる場合は選択。選べない場合は旧成功例を優先。</x:v>
      </x:c>
    </x:row>
    <x:row r="73">
      <x:c r="A73" s="29" t="str">
        <x:v>900g</x:v>
      </x:c>
      <x:c r="B73" s="29" t="str">
        <x:v>JP-Z3</x:v>
      </x:c>
      <x:c r="C73" s="29" t="str">
        <x:v>日本郵便 第3地帯</x:v>
      </x:c>
      <x:c r="D73" s="29" t="str">
        <x:v>Economy International Shipping</x:v>
      </x:c>
      <x:c r="E73" s="30" t="n">
        <x:v>3100</x:v>
      </x:c>
      <x:c r="F73" s="31" t="n">
        <x:f>ROUNDUP(E73/'設定・注意'!$B$4,0)-0.01</x:f>
        <x:v>21.99</x:v>
      </x:c>
      <x:c r="G73" s="29" t="str">
        <x:v>Europe (including UK) - Albania, Andorra, Austria, Belarus, Belgium, Bosnia and Herzegovina, Bulgaria, Croatia, Republic of, Cyprus, Czech Republic, Denmark, Estonia, Finland, France, Gibraltar, Greece, Guernsey, Hungary, Iceland, Ireland, Italy, Jersey, Latvia, Liechtenstein, Lithuania, Luxembourg, Macedonia, Malta, Moldova, Monaco, Montenegro, Netherlands, Norway, Poland, Portugal, Romania, Russian Federation, San Marino, Serbia, Slovakia, Slovenia, Spain, Svalbard and Jan Mayen, Sweden, Switzerland, Ukraine, Vatican City State
Middle East - Bahrain, Iraq, Israel, Jordan, Kuwait, Lebanon, Oman, Qatar, Saudi Arabia, Turkey, United Arab Emirates, Yemen
North America - Bermuda, Canada, Greenland, Mexico, Saint Pierre and Miquelon
Oceania - Cook Islands, Fiji, French Polynesia, Kiribati, Marshall Islands, Micronesia, Nauru, New Caledonia, New Zealand, Niue, Palau, Papua New Guinea, Solomon Islands, Tonga, Tuvalu, Vanuatu, Wallis and Futuna, Western Samoa</x:v>
      </x:c>
      <x:c r="H73" s="29" t="str">
        <x:v>Select shipping serviceで該当サービスが選べる場合は選択。選べない場合は旧成功例を優先。</x:v>
      </x:c>
    </x:row>
    <x:row r="74">
      <x:c r="A74" s="29" t="str">
        <x:v>900g</x:v>
      </x:c>
      <x:c r="B74" s="29" t="str">
        <x:v>JP-Z4</x:v>
      </x:c>
      <x:c r="C74" s="29" t="str">
        <x:v>日本郵便 第4地帯（米国領）</x:v>
      </x:c>
      <x:c r="D74" s="29" t="str">
        <x:v>Economy International Shipping</x:v>
      </x:c>
      <x:c r="E74" s="30" t="n">
        <x:v>3800</x:v>
      </x:c>
      <x:c r="F74" s="31" t="n">
        <x:f>ROUNDUP(E74/'設定・注意'!$B$4,0)-0.01</x:f>
        <x:v>26.99</x:v>
      </x:c>
      <x:c r="G74" s="29" t="str">
        <x:v>Central America and Caribbean - Puerto Rico, Virgin Islands (U.S.)
Oceania - American Samoa, Guam</x:v>
      </x:c>
      <x:c r="H74" s="29" t="str">
        <x:v>Select shipping serviceで該当サービスが選べる場合は選択。選べない場合は旧成功例を優先。</x:v>
      </x:c>
    </x:row>
    <x:row r="75">
      <x:c r="A75" s="29" t="str">
        <x:v>900g</x:v>
      </x:c>
      <x:c r="B75" s="29" t="str">
        <x:v>JP-Z5</x:v>
      </x:c>
      <x:c r="C75" s="29" t="str">
        <x:v>日本郵便 第5地帯</x:v>
      </x:c>
      <x:c r="D75" s="29" t="str">
        <x:v>Economy International Shipping</x:v>
      </x:c>
      <x:c r="E75" s="30" t="n">
        <x:v>3900</x:v>
      </x:c>
      <x:c r="F75" s="31" t="n">
        <x:f>ROUNDUP(E75/'設定・注意'!$B$4,0)-0.01</x:f>
        <x:v>26.99</x:v>
      </x:c>
      <x:c r="G75" s="29" t="str">
        <x:v>Africa - Algeria, Angola, Benin, Botswana, Burkina Faso, Burundi, Cameroon, Cape Verde Islands, Central African Republic, Chad, Comoros, Congo, Democratic Republic of the, Congo, Republic of the, Côte d'Ivoire (Ivory Coast), Djibouti, Egypt, Equatorial Guinea, Eritrea, Ethiopia, Gabon Republic, Gambia, Ghana, Guinea, Guinea-Bissau, Kenya, Lesotho, Liberia, Libya, Madagascar, Malawi, Mali, Mauritania, Mauritius, Mayotte, Morocco, Mozambique, Namibia, Niger, Nigeria, Reunion, Rwanda, Saint Helena, Senegal, Seychelles, Sierra Leone, Somalia, South Africa, Swaziland, Tanzania, Togo, Tunisia, Uganda, Western Sahara, Zambia, Zimbabwe
Central America and Caribbean - Anguilla, Antigua and Barbuda, Aruba, Bahamas, Barbados, Belize, British Virgin Islands, Cayman Islands, Costa Rica, Dominica, Dominican Republic, El Salvador, Grenada, Guadeloupe, Guatemala, Haiti, Honduras, Jamaica, Martinique, Montserrat, Netherlands Antilles, Nicaragua, Panama, Saint Kitts-Nevis, Saint Lucia, Saint Vincent and the Grenadines, Trinidad and Tobago, Turks and Caicos Islands
South America - Argentina, Bolivia, Brazil, Chile, Colombia, Ecuador, Falkland Islands (Islas Malvinas), French Guiana, Guyana, Paraguay, Peru, Suriname, Uruguay, Venezuela</x:v>
      </x:c>
      <x:c r="H75" s="29" t="str">
        <x:v>Select shipping serviceで該当サービスが選べる場合は選択。選べない場合は旧成功例を優先。</x:v>
      </x:c>
    </x:row>
    <x:row r="76">
      <x:c r="A76" s="29" t="str">
        <x:v>1000g</x:v>
      </x:c>
      <x:c r="B76" s="29" t="str">
        <x:v>SPK-UK</x:v>
      </x:c>
      <x:c r="C76" s="29" t="str">
        <x:v>United Kingdom</x:v>
      </x:c>
      <x:c r="D76" s="29" t="str">
        <x:v>eBay SpeedPAK Economy</x:v>
      </x:c>
      <x:c r="E76" s="30" t="n">
        <x:v>3500</x:v>
      </x:c>
      <x:c r="F76" s="31" t="n">
        <x:f>ROUNDUP(E76/'設定・注意'!$B$4,0)-0.01</x:f>
        <x:v>24.99</x:v>
      </x:c>
      <x:c r="G76" s="29" t="str">
        <x:v>United Kingdomのみ</x:v>
      </x:c>
      <x:c r="H76" s="29" t="str">
        <x:v>Select shipping serviceで該当サービスが選べる場合は選択。選べない場合は旧成功例を優先。</x:v>
      </x:c>
    </x:row>
    <x:row r="77">
      <x:c r="A77" s="29" t="str">
        <x:v>1000g</x:v>
      </x:c>
      <x:c r="B77" s="29" t="str">
        <x:v>SPK-DE</x:v>
      </x:c>
      <x:c r="C77" s="29" t="str">
        <x:v>Germany</x:v>
      </x:c>
      <x:c r="D77" s="29" t="str">
        <x:v>eBay SpeedPAK Economy</x:v>
      </x:c>
      <x:c r="E77" s="30" t="n">
        <x:v>5400</x:v>
      </x:c>
      <x:c r="F77" s="31" t="n">
        <x:f>ROUNDUP(E77/'設定・注意'!$B$4,0)-0.01</x:f>
        <x:v>37.99</x:v>
      </x:c>
      <x:c r="G77" s="29" t="str">
        <x:v>Germanyのみ</x:v>
      </x:c>
      <x:c r="H77" s="29" t="str">
        <x:v>Select shipping serviceで該当サービスが選べる場合は選択。選べない場合は旧成功例を優先。</x:v>
      </x:c>
    </x:row>
    <x:row r="78">
      <x:c r="A78" s="29" t="str">
        <x:v>1000g</x:v>
      </x:c>
      <x:c r="B78" s="29" t="str">
        <x:v>SPK-AU</x:v>
      </x:c>
      <x:c r="C78" s="29" t="str">
        <x:v>Australia</x:v>
      </x:c>
      <x:c r="D78" s="29" t="str">
        <x:v>eBay SpeedPAK Economy</x:v>
      </x:c>
      <x:c r="E78" s="30" t="n">
        <x:v>3300</x:v>
      </x:c>
      <x:c r="F78" s="31" t="n">
        <x:f>ROUNDUP(E78/'設定・注意'!$B$4,0)-0.01</x:f>
        <x:v>22.99</x:v>
      </x:c>
      <x:c r="G78" s="29" t="str">
        <x:v>Australiaのみ</x:v>
      </x:c>
      <x:c r="H78" s="29" t="str">
        <x:v>Select shipping serviceで該当サービスが選べる場合は選択。選べない場合は旧成功例を優先。</x:v>
      </x:c>
    </x:row>
    <x:row r="79">
      <x:c r="A79" s="29" t="str">
        <x:v>1000g</x:v>
      </x:c>
      <x:c r="B79" s="29" t="str">
        <x:v>JP-Z1</x:v>
      </x:c>
      <x:c r="C79" s="29" t="str">
        <x:v>日本郵便 第1地帯</x:v>
      </x:c>
      <x:c r="D79" s="29" t="str">
        <x:v>Economy International Shipping</x:v>
      </x:c>
      <x:c r="E79" s="30" t="n">
        <x:v>2300</x:v>
      </x:c>
      <x:c r="F79" s="31" t="n">
        <x:f>ROUNDUP(E79/'設定・注意'!$B$4,0)-0.01</x:f>
        <x:v>15.99</x:v>
      </x:c>
      <x:c r="G79" s="29" t="str">
        <x:v>Asia - China, Korea, South
Southeast Asia - Taiwan</x:v>
      </x:c>
      <x:c r="H79" s="29" t="str">
        <x:v>Select shipping serviceで該当サービスが選べる場合は選択。選べない場合は旧成功例を優先。</x:v>
      </x:c>
    </x:row>
    <x:row r="80">
      <x:c r="A80" s="29" t="str">
        <x:v>1000g</x:v>
      </x:c>
      <x:c r="B80" s="29" t="str">
        <x:v>JP-Z2</x:v>
      </x:c>
      <x:c r="C80" s="29" t="str">
        <x:v>日本郵便 第2地帯</x:v>
      </x:c>
      <x:c r="D80" s="29" t="str">
        <x:v>Economy International Shipping</x:v>
      </x:c>
      <x:c r="E80" s="30" t="n">
        <x:v>2600</x:v>
      </x:c>
      <x:c r="F80" s="31" t="n">
        <x:f>ROUNDUP(E80/'設定・注意'!$B$4,0)-0.01</x:f>
        <x:v>17.99</x:v>
      </x:c>
      <x:c r="G80" s="29" t="str">
        <x:v>Asia - Afghanistan, Armenia, Azerbaijan Republic, Bangladesh, Bhutan, Georgia, India, Kazakhstan, Kyrgyzstan, Maldives, Mongolia, Nepal, Pakistan, Sri Lanka, Tajikistan, Turkmenistan, Uzbekistan
Southeast Asia - Brunei Darussalam, Cambodia, Hong Kong, Indonesia, Laos, Macau, Malaysia, Philippines, Singapore, Thailand, Vietnam</x:v>
      </x:c>
      <x:c r="H80" s="29" t="str">
        <x:v>Select shipping serviceで該当サービスが選べる場合は選択。選べない場合は旧成功例を優先。</x:v>
      </x:c>
    </x:row>
    <x:row r="81">
      <x:c r="A81" s="29" t="str">
        <x:v>1000g</x:v>
      </x:c>
      <x:c r="B81" s="29" t="str">
        <x:v>JP-Z3</x:v>
      </x:c>
      <x:c r="C81" s="29" t="str">
        <x:v>日本郵便 第3地帯</x:v>
      </x:c>
      <x:c r="D81" s="29" t="str">
        <x:v>Economy International Shipping</x:v>
      </x:c>
      <x:c r="E81" s="30" t="n">
        <x:v>3300</x:v>
      </x:c>
      <x:c r="F81" s="31" t="n">
        <x:f>ROUNDUP(E81/'設定・注意'!$B$4,0)-0.01</x:f>
        <x:v>22.99</x:v>
      </x:c>
      <x:c r="G81" s="29" t="str">
        <x:v>Europe (including UK) - Albania, Andorra, Austria, Belarus, Belgium, Bosnia and Herzegovina, Bulgaria, Croatia, Republic of, Cyprus, Czech Republic, Denmark, Estonia, Finland, France, Gibraltar, Greece, Guernsey, Hungary, Iceland, Ireland, Italy, Jersey, Latvia, Liechtenstein, Lithuania, Luxembourg, Macedonia, Malta, Moldova, Monaco, Montenegro, Netherlands, Norway, Poland, Portugal, Romania, Russian Federation, San Marino, Serbia, Slovakia, Slovenia, Spain, Svalbard and Jan Mayen, Sweden, Switzerland, Ukraine, Vatican City State
Middle East - Bahrain, Iraq, Israel, Jordan, Kuwait, Lebanon, Oman, Qatar, Saudi Arabia, Turkey, United Arab Emirates, Yemen
North America - Bermuda, Canada, Greenland, Mexico, Saint Pierre and Miquelon
Oceania - Cook Islands, Fiji, French Polynesia, Kiribati, Marshall Islands, Micronesia, Nauru, New Caledonia, New Zealand, Niue, Palau, Papua New Guinea, Solomon Islands, Tonga, Tuvalu, Vanuatu, Wallis and Futuna, Western Samoa</x:v>
      </x:c>
      <x:c r="H81" s="29" t="str">
        <x:v>Select shipping serviceで該当サービスが選べる場合は選択。選べない場合は旧成功例を優先。</x:v>
      </x:c>
    </x:row>
    <x:row r="82">
      <x:c r="A82" s="29" t="str">
        <x:v>1000g</x:v>
      </x:c>
      <x:c r="B82" s="29" t="str">
        <x:v>JP-Z4</x:v>
      </x:c>
      <x:c r="C82" s="29" t="str">
        <x:v>日本郵便 第4地帯（米国領）</x:v>
      </x:c>
      <x:c r="D82" s="29" t="str">
        <x:v>Economy International Shipping</x:v>
      </x:c>
      <x:c r="E82" s="30" t="n">
        <x:v>4000</x:v>
      </x:c>
      <x:c r="F82" s="31" t="n">
        <x:f>ROUNDUP(E82/'設定・注意'!$B$4,0)-0.01</x:f>
        <x:v>27.99</x:v>
      </x:c>
      <x:c r="G82" s="29" t="str">
        <x:v>Central America and Caribbean - Puerto Rico, Virgin Islands (U.S.)
Oceania - American Samoa, Guam</x:v>
      </x:c>
      <x:c r="H82" s="29" t="str">
        <x:v>Select shipping serviceで該当サービスが選べる場合は選択。選べない場合は旧成功例を優先。</x:v>
      </x:c>
    </x:row>
    <x:row r="83">
      <x:c r="A83" s="29" t="str">
        <x:v>1000g</x:v>
      </x:c>
      <x:c r="B83" s="29" t="str">
        <x:v>JP-Z5</x:v>
      </x:c>
      <x:c r="C83" s="29" t="str">
        <x:v>日本郵便 第5地帯</x:v>
      </x:c>
      <x:c r="D83" s="29" t="str">
        <x:v>Economy International Shipping</x:v>
      </x:c>
      <x:c r="E83" s="30" t="n">
        <x:v>4200</x:v>
      </x:c>
      <x:c r="F83" s="31" t="n">
        <x:f>ROUNDUP(E83/'設定・注意'!$B$4,0)-0.01</x:f>
        <x:v>28.99</x:v>
      </x:c>
      <x:c r="G83" s="29" t="str">
        <x:v>Africa - Algeria, Angola, Benin, Botswana, Burkina Faso, Burundi, Cameroon, Cape Verde Islands, Central African Republic, Chad, Comoros, Congo, Democratic Republic of the, Congo, Republic of the, Côte d'Ivoire (Ivory Coast), Djibouti, Egypt, Equatorial Guinea, Eritrea, Ethiopia, Gabon Republic, Gambia, Ghana, Guinea, Guinea-Bissau, Kenya, Lesotho, Liberia, Libya, Madagascar, Malawi, Mali, Mauritania, Mauritius, Mayotte, Morocco, Mozambique, Namibia, Niger, Nigeria, Reunion, Rwanda, Saint Helena, Senegal, Seychelles, Sierra Leone, Somalia, South Africa, Swaziland, Tanzania, Togo, Tunisia, Uganda, Western Sahara, Zambia, Zimbabwe
Central America and Caribbean - Anguilla, Antigua and Barbuda, Aruba, Bahamas, Barbados, Belize, British Virgin Islands, Cayman Islands, Costa Rica, Dominica, Dominican Republic, El Salvador, Grenada, Guadeloupe, Guatemala, Haiti, Honduras, Jamaica, Martinique, Montserrat, Netherlands Antilles, Nicaragua, Panama, Saint Kitts-Nevis, Saint Lucia, Saint Vincent and the Grenadines, Trinidad and Tobago, Turks and Caicos Islands
South America - Argentina, Bolivia, Brazil, Chile, Colombia, Ecuador, Falkland Islands (Islas Malvinas), French Guiana, Guyana, Paraguay, Peru, Suriname, Uruguay, Venezuela</x:v>
      </x:c>
      <x:c r="H83" s="29" t="str">
        <x:v>Select shipping serviceで該当サービスが選べる場合は選択。選べない場合は旧成功例を優先。</x:v>
      </x:c>
    </x:row>
  </x:sheetData>
  <x:mergeCells>
    <x:mergeCell ref="A1:H1"/>
  </x:mergeCells>
  <x:pageMargins left="0.7" right="0.7" top="0.75" bottom="0.75" header="0.3" footer="0.3"/>
  <x:tableParts count="1">
    <x:tablePart xmlns:r="http://schemas.openxmlformats.org/officeDocument/2006/relationships" r:id="Rbeba89fe34cc4145"/>
  </x:tableParts>
</x:worksheet>
</file>

<file path=xl/worksheets/sheet3.xml><?xml version="1.0" encoding="utf-8"?>
<x:worksheet xmlns:x="http://schemas.openxmlformats.org/spreadsheetml/2006/main">
  <x:sheetFormatPr defaultRowHeight="15"/>
  <x:cols>
    <x:col min="1" max="1" width="30" hidden="0" customWidth="1"/>
    <x:col min="2" max="2" width="34" hidden="0" customWidth="1"/>
    <x:col min="3" max="3" width="12" hidden="0" customWidth="1"/>
    <x:col min="4" max="4" width="32" hidden="0" customWidth="1"/>
    <x:col min="5" max="5" width="12" hidden="0" customWidth="1"/>
    <x:col min="6" max="6" width="12" hidden="0" customWidth="1"/>
    <x:col min="7" max="7" width="12" hidden="0" customWidth="1"/>
    <x:col min="8" max="8" width="12" hidden="0" customWidth="1"/>
  </x:cols>
  <x:sheetData>
    <x:row r="1">
      <x:c r="A1" s="5" t="str">
        <x:v>配送先別の分類確認</x:v>
      </x:c>
      <x:c r="B1" s="5"/>
      <x:c r="C1" s="5"/>
      <x:c r="D1" s="5"/>
      <x:c r="E1" s="5"/>
      <x:c r="F1" s="5"/>
      <x:c r="G1" s="5"/>
      <x:c r="H1" s="5"/>
    </x:row>
    <x:row r="3">
      <x:c r="A3" s="28" t="str">
        <x:v>eBay地域</x:v>
      </x:c>
      <x:c r="B3" s="28" t="str">
        <x:v>eBay国名</x:v>
      </x:c>
      <x:c r="C3" s="28" t="str">
        <x:v>使用区分</x:v>
      </x:c>
      <x:c r="D3" s="28" t="str">
        <x:v>実発送</x:v>
      </x:c>
      <x:c r="E3" s="28" t="str">
        <x:v>100g円額</x:v>
      </x:c>
      <x:c r="F3" s="28" t="str">
        <x:v>100g USD</x:v>
      </x:c>
      <x:c r="G3" s="28" t="str">
        <x:v>1000g円額</x:v>
      </x:c>
      <x:c r="H3" s="28" t="str">
        <x:v>1000g USD</x:v>
      </x:c>
    </x:row>
    <x:row r="4">
      <x:c r="A4" s="29" t="str">
        <x:v>Africa</x:v>
      </x:c>
      <x:c r="B4" s="29" t="str">
        <x:v>Algeria</x:v>
      </x:c>
      <x:c r="C4" s="29" t="str">
        <x:v>JP-Z5</x:v>
      </x:c>
      <x:c r="D4" s="29" t="str">
        <x:v>日本郵便 国際エアパケット</x:v>
      </x:c>
      <x:c r="E4" s="30" t="n">
        <x:v>1500</x:v>
      </x:c>
      <x:c r="F4" s="31" t="n">
        <x:f>ROUNDUP(E4/'設定・注意'!$B$4,0)-0.01</x:f>
        <x:v>10.99</x:v>
      </x:c>
      <x:c r="G4" s="30" t="n">
        <x:v>4200</x:v>
      </x:c>
      <x:c r="H4" s="31" t="n">
        <x:f>ROUNDUP(G4/'設定・注意'!$B$4,0)-0.01</x:f>
        <x:v>28.99</x:v>
      </x:c>
    </x:row>
    <x:row r="5">
      <x:c r="A5" s="29" t="str">
        <x:v>Africa</x:v>
      </x:c>
      <x:c r="B5" s="29" t="str">
        <x:v>Angola</x:v>
      </x:c>
      <x:c r="C5" s="29" t="str">
        <x:v>JP-Z5</x:v>
      </x:c>
      <x:c r="D5" s="29" t="str">
        <x:v>日本郵便 国際エアパケット</x:v>
      </x:c>
      <x:c r="E5" s="30" t="n">
        <x:v>1500</x:v>
      </x:c>
      <x:c r="F5" s="31" t="n">
        <x:f>ROUNDUP(E5/'設定・注意'!$B$4,0)-0.01</x:f>
        <x:v>10.99</x:v>
      </x:c>
      <x:c r="G5" s="30" t="n">
        <x:v>4200</x:v>
      </x:c>
      <x:c r="H5" s="31" t="n">
        <x:f>ROUNDUP(G5/'設定・注意'!$B$4,0)-0.01</x:f>
        <x:v>28.99</x:v>
      </x:c>
    </x:row>
    <x:row r="6">
      <x:c r="A6" s="29" t="str">
        <x:v>Africa</x:v>
      </x:c>
      <x:c r="B6" s="29" t="str">
        <x:v>Benin</x:v>
      </x:c>
      <x:c r="C6" s="29" t="str">
        <x:v>JP-Z5</x:v>
      </x:c>
      <x:c r="D6" s="29" t="str">
        <x:v>日本郵便 国際エアパケット</x:v>
      </x:c>
      <x:c r="E6" s="30" t="n">
        <x:v>1500</x:v>
      </x:c>
      <x:c r="F6" s="31" t="n">
        <x:f>ROUNDUP(E6/'設定・注意'!$B$4,0)-0.01</x:f>
        <x:v>10.99</x:v>
      </x:c>
      <x:c r="G6" s="30" t="n">
        <x:v>4200</x:v>
      </x:c>
      <x:c r="H6" s="31" t="n">
        <x:f>ROUNDUP(G6/'設定・注意'!$B$4,0)-0.01</x:f>
        <x:v>28.99</x:v>
      </x:c>
    </x:row>
    <x:row r="7">
      <x:c r="A7" s="29" t="str">
        <x:v>Africa</x:v>
      </x:c>
      <x:c r="B7" s="29" t="str">
        <x:v>Botswana</x:v>
      </x:c>
      <x:c r="C7" s="29" t="str">
        <x:v>JP-Z5</x:v>
      </x:c>
      <x:c r="D7" s="29" t="str">
        <x:v>日本郵便 国際エアパケット</x:v>
      </x:c>
      <x:c r="E7" s="30" t="n">
        <x:v>1500</x:v>
      </x:c>
      <x:c r="F7" s="31" t="n">
        <x:f>ROUNDUP(E7/'設定・注意'!$B$4,0)-0.01</x:f>
        <x:v>10.99</x:v>
      </x:c>
      <x:c r="G7" s="30" t="n">
        <x:v>4200</x:v>
      </x:c>
      <x:c r="H7" s="31" t="n">
        <x:f>ROUNDUP(G7/'設定・注意'!$B$4,0)-0.01</x:f>
        <x:v>28.99</x:v>
      </x:c>
    </x:row>
    <x:row r="8">
      <x:c r="A8" s="29" t="str">
        <x:v>Africa</x:v>
      </x:c>
      <x:c r="B8" s="29" t="str">
        <x:v>Burkina Faso</x:v>
      </x:c>
      <x:c r="C8" s="29" t="str">
        <x:v>JP-Z5</x:v>
      </x:c>
      <x:c r="D8" s="29" t="str">
        <x:v>日本郵便 国際エアパケット</x:v>
      </x:c>
      <x:c r="E8" s="30" t="n">
        <x:v>1500</x:v>
      </x:c>
      <x:c r="F8" s="31" t="n">
        <x:f>ROUNDUP(E8/'設定・注意'!$B$4,0)-0.01</x:f>
        <x:v>10.99</x:v>
      </x:c>
      <x:c r="G8" s="30" t="n">
        <x:v>4200</x:v>
      </x:c>
      <x:c r="H8" s="31" t="n">
        <x:f>ROUNDUP(G8/'設定・注意'!$B$4,0)-0.01</x:f>
        <x:v>28.99</x:v>
      </x:c>
    </x:row>
    <x:row r="9">
      <x:c r="A9" s="29" t="str">
        <x:v>Africa</x:v>
      </x:c>
      <x:c r="B9" s="29" t="str">
        <x:v>Burundi</x:v>
      </x:c>
      <x:c r="C9" s="29" t="str">
        <x:v>JP-Z5</x:v>
      </x:c>
      <x:c r="D9" s="29" t="str">
        <x:v>日本郵便 国際エアパケット</x:v>
      </x:c>
      <x:c r="E9" s="30" t="n">
        <x:v>1500</x:v>
      </x:c>
      <x:c r="F9" s="31" t="n">
        <x:f>ROUNDUP(E9/'設定・注意'!$B$4,0)-0.01</x:f>
        <x:v>10.99</x:v>
      </x:c>
      <x:c r="G9" s="30" t="n">
        <x:v>4200</x:v>
      </x:c>
      <x:c r="H9" s="31" t="n">
        <x:f>ROUNDUP(G9/'設定・注意'!$B$4,0)-0.01</x:f>
        <x:v>28.99</x:v>
      </x:c>
    </x:row>
    <x:row r="10">
      <x:c r="A10" s="29" t="str">
        <x:v>Africa</x:v>
      </x:c>
      <x:c r="B10" s="29" t="str">
        <x:v>Cameroon</x:v>
      </x:c>
      <x:c r="C10" s="29" t="str">
        <x:v>JP-Z5</x:v>
      </x:c>
      <x:c r="D10" s="29" t="str">
        <x:v>日本郵便 国際エアパケット</x:v>
      </x:c>
      <x:c r="E10" s="30" t="n">
        <x:v>1500</x:v>
      </x:c>
      <x:c r="F10" s="31" t="n">
        <x:f>ROUNDUP(E10/'設定・注意'!$B$4,0)-0.01</x:f>
        <x:v>10.99</x:v>
      </x:c>
      <x:c r="G10" s="30" t="n">
        <x:v>4200</x:v>
      </x:c>
      <x:c r="H10" s="31" t="n">
        <x:f>ROUNDUP(G10/'設定・注意'!$B$4,0)-0.01</x:f>
        <x:v>28.99</x:v>
      </x:c>
    </x:row>
    <x:row r="11">
      <x:c r="A11" s="29" t="str">
        <x:v>Africa</x:v>
      </x:c>
      <x:c r="B11" s="29" t="str">
        <x:v>Cape Verde Islands</x:v>
      </x:c>
      <x:c r="C11" s="29" t="str">
        <x:v>JP-Z5</x:v>
      </x:c>
      <x:c r="D11" s="29" t="str">
        <x:v>日本郵便 国際エアパケット</x:v>
      </x:c>
      <x:c r="E11" s="30" t="n">
        <x:v>1500</x:v>
      </x:c>
      <x:c r="F11" s="31" t="n">
        <x:f>ROUNDUP(E11/'設定・注意'!$B$4,0)-0.01</x:f>
        <x:v>10.99</x:v>
      </x:c>
      <x:c r="G11" s="30" t="n">
        <x:v>4200</x:v>
      </x:c>
      <x:c r="H11" s="31" t="n">
        <x:f>ROUNDUP(G11/'設定・注意'!$B$4,0)-0.01</x:f>
        <x:v>28.99</x:v>
      </x:c>
    </x:row>
    <x:row r="12">
      <x:c r="A12" s="29" t="str">
        <x:v>Africa</x:v>
      </x:c>
      <x:c r="B12" s="29" t="str">
        <x:v>Central African Republic</x:v>
      </x:c>
      <x:c r="C12" s="29" t="str">
        <x:v>JP-Z5</x:v>
      </x:c>
      <x:c r="D12" s="29" t="str">
        <x:v>日本郵便 国際エアパケット</x:v>
      </x:c>
      <x:c r="E12" s="30" t="n">
        <x:v>1500</x:v>
      </x:c>
      <x:c r="F12" s="31" t="n">
        <x:f>ROUNDUP(E12/'設定・注意'!$B$4,0)-0.01</x:f>
        <x:v>10.99</x:v>
      </x:c>
      <x:c r="G12" s="30" t="n">
        <x:v>4200</x:v>
      </x:c>
      <x:c r="H12" s="31" t="n">
        <x:f>ROUNDUP(G12/'設定・注意'!$B$4,0)-0.01</x:f>
        <x:v>28.99</x:v>
      </x:c>
    </x:row>
    <x:row r="13">
      <x:c r="A13" s="29" t="str">
        <x:v>Africa</x:v>
      </x:c>
      <x:c r="B13" s="29" t="str">
        <x:v>Chad</x:v>
      </x:c>
      <x:c r="C13" s="29" t="str">
        <x:v>JP-Z5</x:v>
      </x:c>
      <x:c r="D13" s="29" t="str">
        <x:v>日本郵便 国際エアパケット</x:v>
      </x:c>
      <x:c r="E13" s="30" t="n">
        <x:v>1500</x:v>
      </x:c>
      <x:c r="F13" s="31" t="n">
        <x:f>ROUNDUP(E13/'設定・注意'!$B$4,0)-0.01</x:f>
        <x:v>10.99</x:v>
      </x:c>
      <x:c r="G13" s="30" t="n">
        <x:v>4200</x:v>
      </x:c>
      <x:c r="H13" s="31" t="n">
        <x:f>ROUNDUP(G13/'設定・注意'!$B$4,0)-0.01</x:f>
        <x:v>28.99</x:v>
      </x:c>
    </x:row>
    <x:row r="14">
      <x:c r="A14" s="29" t="str">
        <x:v>Africa</x:v>
      </x:c>
      <x:c r="B14" s="29" t="str">
        <x:v>Comoros</x:v>
      </x:c>
      <x:c r="C14" s="29" t="str">
        <x:v>JP-Z5</x:v>
      </x:c>
      <x:c r="D14" s="29" t="str">
        <x:v>日本郵便 国際エアパケット</x:v>
      </x:c>
      <x:c r="E14" s="30" t="n">
        <x:v>1500</x:v>
      </x:c>
      <x:c r="F14" s="31" t="n">
        <x:f>ROUNDUP(E14/'設定・注意'!$B$4,0)-0.01</x:f>
        <x:v>10.99</x:v>
      </x:c>
      <x:c r="G14" s="30" t="n">
        <x:v>4200</x:v>
      </x:c>
      <x:c r="H14" s="31" t="n">
        <x:f>ROUNDUP(G14/'設定・注意'!$B$4,0)-0.01</x:f>
        <x:v>28.99</x:v>
      </x:c>
    </x:row>
    <x:row r="15">
      <x:c r="A15" s="29" t="str">
        <x:v>Africa</x:v>
      </x:c>
      <x:c r="B15" s="29" t="str">
        <x:v>Congo, Democratic Republic of the</x:v>
      </x:c>
      <x:c r="C15" s="29" t="str">
        <x:v>JP-Z5</x:v>
      </x:c>
      <x:c r="D15" s="29" t="str">
        <x:v>日本郵便 国際エアパケット</x:v>
      </x:c>
      <x:c r="E15" s="30" t="n">
        <x:v>1500</x:v>
      </x:c>
      <x:c r="F15" s="31" t="n">
        <x:f>ROUNDUP(E15/'設定・注意'!$B$4,0)-0.01</x:f>
        <x:v>10.99</x:v>
      </x:c>
      <x:c r="G15" s="30" t="n">
        <x:v>4200</x:v>
      </x:c>
      <x:c r="H15" s="31" t="n">
        <x:f>ROUNDUP(G15/'設定・注意'!$B$4,0)-0.01</x:f>
        <x:v>28.99</x:v>
      </x:c>
    </x:row>
    <x:row r="16">
      <x:c r="A16" s="29" t="str">
        <x:v>Africa</x:v>
      </x:c>
      <x:c r="B16" s="29" t="str">
        <x:v>Congo, Republic of the</x:v>
      </x:c>
      <x:c r="C16" s="29" t="str">
        <x:v>JP-Z5</x:v>
      </x:c>
      <x:c r="D16" s="29" t="str">
        <x:v>日本郵便 国際エアパケット</x:v>
      </x:c>
      <x:c r="E16" s="30" t="n">
        <x:v>1500</x:v>
      </x:c>
      <x:c r="F16" s="31" t="n">
        <x:f>ROUNDUP(E16/'設定・注意'!$B$4,0)-0.01</x:f>
        <x:v>10.99</x:v>
      </x:c>
      <x:c r="G16" s="30" t="n">
        <x:v>4200</x:v>
      </x:c>
      <x:c r="H16" s="31" t="n">
        <x:f>ROUNDUP(G16/'設定・注意'!$B$4,0)-0.01</x:f>
        <x:v>28.99</x:v>
      </x:c>
    </x:row>
    <x:row r="17">
      <x:c r="A17" s="29" t="str">
        <x:v>Africa</x:v>
      </x:c>
      <x:c r="B17" s="29" t="str">
        <x:v>Côte d'Ivoire (Ivory Coast)</x:v>
      </x:c>
      <x:c r="C17" s="29" t="str">
        <x:v>JP-Z5</x:v>
      </x:c>
      <x:c r="D17" s="29" t="str">
        <x:v>日本郵便 国際エアパケット</x:v>
      </x:c>
      <x:c r="E17" s="30" t="n">
        <x:v>1500</x:v>
      </x:c>
      <x:c r="F17" s="31" t="n">
        <x:f>ROUNDUP(E17/'設定・注意'!$B$4,0)-0.01</x:f>
        <x:v>10.99</x:v>
      </x:c>
      <x:c r="G17" s="30" t="n">
        <x:v>4200</x:v>
      </x:c>
      <x:c r="H17" s="31" t="n">
        <x:f>ROUNDUP(G17/'設定・注意'!$B$4,0)-0.01</x:f>
        <x:v>28.99</x:v>
      </x:c>
    </x:row>
    <x:row r="18">
      <x:c r="A18" s="29" t="str">
        <x:v>Africa</x:v>
      </x:c>
      <x:c r="B18" s="29" t="str">
        <x:v>Djibouti</x:v>
      </x:c>
      <x:c r="C18" s="29" t="str">
        <x:v>JP-Z5</x:v>
      </x:c>
      <x:c r="D18" s="29" t="str">
        <x:v>日本郵便 国際エアパケット</x:v>
      </x:c>
      <x:c r="E18" s="30" t="n">
        <x:v>1500</x:v>
      </x:c>
      <x:c r="F18" s="31" t="n">
        <x:f>ROUNDUP(E18/'設定・注意'!$B$4,0)-0.01</x:f>
        <x:v>10.99</x:v>
      </x:c>
      <x:c r="G18" s="30" t="n">
        <x:v>4200</x:v>
      </x:c>
      <x:c r="H18" s="31" t="n">
        <x:f>ROUNDUP(G18/'設定・注意'!$B$4,0)-0.01</x:f>
        <x:v>28.99</x:v>
      </x:c>
    </x:row>
    <x:row r="19">
      <x:c r="A19" s="29" t="str">
        <x:v>Africa</x:v>
      </x:c>
      <x:c r="B19" s="29" t="str">
        <x:v>Egypt</x:v>
      </x:c>
      <x:c r="C19" s="29" t="str">
        <x:v>JP-Z5</x:v>
      </x:c>
      <x:c r="D19" s="29" t="str">
        <x:v>日本郵便 国際エアパケット</x:v>
      </x:c>
      <x:c r="E19" s="30" t="n">
        <x:v>1500</x:v>
      </x:c>
      <x:c r="F19" s="31" t="n">
        <x:f>ROUNDUP(E19/'設定・注意'!$B$4,0)-0.01</x:f>
        <x:v>10.99</x:v>
      </x:c>
      <x:c r="G19" s="30" t="n">
        <x:v>4200</x:v>
      </x:c>
      <x:c r="H19" s="31" t="n">
        <x:f>ROUNDUP(G19/'設定・注意'!$B$4,0)-0.01</x:f>
        <x:v>28.99</x:v>
      </x:c>
    </x:row>
    <x:row r="20">
      <x:c r="A20" s="29" t="str">
        <x:v>Africa</x:v>
      </x:c>
      <x:c r="B20" s="29" t="str">
        <x:v>Equatorial Guinea</x:v>
      </x:c>
      <x:c r="C20" s="29" t="str">
        <x:v>JP-Z5</x:v>
      </x:c>
      <x:c r="D20" s="29" t="str">
        <x:v>日本郵便 国際エアパケット</x:v>
      </x:c>
      <x:c r="E20" s="30" t="n">
        <x:v>1500</x:v>
      </x:c>
      <x:c r="F20" s="31" t="n">
        <x:f>ROUNDUP(E20/'設定・注意'!$B$4,0)-0.01</x:f>
        <x:v>10.99</x:v>
      </x:c>
      <x:c r="G20" s="30" t="n">
        <x:v>4200</x:v>
      </x:c>
      <x:c r="H20" s="31" t="n">
        <x:f>ROUNDUP(G20/'設定・注意'!$B$4,0)-0.01</x:f>
        <x:v>28.99</x:v>
      </x:c>
    </x:row>
    <x:row r="21">
      <x:c r="A21" s="29" t="str">
        <x:v>Africa</x:v>
      </x:c>
      <x:c r="B21" s="29" t="str">
        <x:v>Eritrea</x:v>
      </x:c>
      <x:c r="C21" s="29" t="str">
        <x:v>JP-Z5</x:v>
      </x:c>
      <x:c r="D21" s="29" t="str">
        <x:v>日本郵便 国際エアパケット</x:v>
      </x:c>
      <x:c r="E21" s="30" t="n">
        <x:v>1500</x:v>
      </x:c>
      <x:c r="F21" s="31" t="n">
        <x:f>ROUNDUP(E21/'設定・注意'!$B$4,0)-0.01</x:f>
        <x:v>10.99</x:v>
      </x:c>
      <x:c r="G21" s="30" t="n">
        <x:v>4200</x:v>
      </x:c>
      <x:c r="H21" s="31" t="n">
        <x:f>ROUNDUP(G21/'設定・注意'!$B$4,0)-0.01</x:f>
        <x:v>28.99</x:v>
      </x:c>
    </x:row>
    <x:row r="22">
      <x:c r="A22" s="29" t="str">
        <x:v>Africa</x:v>
      </x:c>
      <x:c r="B22" s="29" t="str">
        <x:v>Ethiopia</x:v>
      </x:c>
      <x:c r="C22" s="29" t="str">
        <x:v>JP-Z5</x:v>
      </x:c>
      <x:c r="D22" s="29" t="str">
        <x:v>日本郵便 国際エアパケット</x:v>
      </x:c>
      <x:c r="E22" s="30" t="n">
        <x:v>1500</x:v>
      </x:c>
      <x:c r="F22" s="31" t="n">
        <x:f>ROUNDUP(E22/'設定・注意'!$B$4,0)-0.01</x:f>
        <x:v>10.99</x:v>
      </x:c>
      <x:c r="G22" s="30" t="n">
        <x:v>4200</x:v>
      </x:c>
      <x:c r="H22" s="31" t="n">
        <x:f>ROUNDUP(G22/'設定・注意'!$B$4,0)-0.01</x:f>
        <x:v>28.99</x:v>
      </x:c>
    </x:row>
    <x:row r="23">
      <x:c r="A23" s="29" t="str">
        <x:v>Africa</x:v>
      </x:c>
      <x:c r="B23" s="29" t="str">
        <x:v>Gabon Republic</x:v>
      </x:c>
      <x:c r="C23" s="29" t="str">
        <x:v>JP-Z5</x:v>
      </x:c>
      <x:c r="D23" s="29" t="str">
        <x:v>日本郵便 国際エアパケット</x:v>
      </x:c>
      <x:c r="E23" s="30" t="n">
        <x:v>1500</x:v>
      </x:c>
      <x:c r="F23" s="31" t="n">
        <x:f>ROUNDUP(E23/'設定・注意'!$B$4,0)-0.01</x:f>
        <x:v>10.99</x:v>
      </x:c>
      <x:c r="G23" s="30" t="n">
        <x:v>4200</x:v>
      </x:c>
      <x:c r="H23" s="31" t="n">
        <x:f>ROUNDUP(G23/'設定・注意'!$B$4,0)-0.01</x:f>
        <x:v>28.99</x:v>
      </x:c>
    </x:row>
    <x:row r="24">
      <x:c r="A24" s="29" t="str">
        <x:v>Africa</x:v>
      </x:c>
      <x:c r="B24" s="29" t="str">
        <x:v>Gambia</x:v>
      </x:c>
      <x:c r="C24" s="29" t="str">
        <x:v>JP-Z5</x:v>
      </x:c>
      <x:c r="D24" s="29" t="str">
        <x:v>日本郵便 国際エアパケット</x:v>
      </x:c>
      <x:c r="E24" s="30" t="n">
        <x:v>1500</x:v>
      </x:c>
      <x:c r="F24" s="31" t="n">
        <x:f>ROUNDUP(E24/'設定・注意'!$B$4,0)-0.01</x:f>
        <x:v>10.99</x:v>
      </x:c>
      <x:c r="G24" s="30" t="n">
        <x:v>4200</x:v>
      </x:c>
      <x:c r="H24" s="31" t="n">
        <x:f>ROUNDUP(G24/'設定・注意'!$B$4,0)-0.01</x:f>
        <x:v>28.99</x:v>
      </x:c>
    </x:row>
    <x:row r="25">
      <x:c r="A25" s="29" t="str">
        <x:v>Africa</x:v>
      </x:c>
      <x:c r="B25" s="29" t="str">
        <x:v>Ghana</x:v>
      </x:c>
      <x:c r="C25" s="29" t="str">
        <x:v>JP-Z5</x:v>
      </x:c>
      <x:c r="D25" s="29" t="str">
        <x:v>日本郵便 国際エアパケット</x:v>
      </x:c>
      <x:c r="E25" s="30" t="n">
        <x:v>1500</x:v>
      </x:c>
      <x:c r="F25" s="31" t="n">
        <x:f>ROUNDUP(E25/'設定・注意'!$B$4,0)-0.01</x:f>
        <x:v>10.99</x:v>
      </x:c>
      <x:c r="G25" s="30" t="n">
        <x:v>4200</x:v>
      </x:c>
      <x:c r="H25" s="31" t="n">
        <x:f>ROUNDUP(G25/'設定・注意'!$B$4,0)-0.01</x:f>
        <x:v>28.99</x:v>
      </x:c>
    </x:row>
    <x:row r="26">
      <x:c r="A26" s="29" t="str">
        <x:v>Africa</x:v>
      </x:c>
      <x:c r="B26" s="29" t="str">
        <x:v>Guinea</x:v>
      </x:c>
      <x:c r="C26" s="29" t="str">
        <x:v>JP-Z5</x:v>
      </x:c>
      <x:c r="D26" s="29" t="str">
        <x:v>日本郵便 国際エアパケット</x:v>
      </x:c>
      <x:c r="E26" s="30" t="n">
        <x:v>1500</x:v>
      </x:c>
      <x:c r="F26" s="31" t="n">
        <x:f>ROUNDUP(E26/'設定・注意'!$B$4,0)-0.01</x:f>
        <x:v>10.99</x:v>
      </x:c>
      <x:c r="G26" s="30" t="n">
        <x:v>4200</x:v>
      </x:c>
      <x:c r="H26" s="31" t="n">
        <x:f>ROUNDUP(G26/'設定・注意'!$B$4,0)-0.01</x:f>
        <x:v>28.99</x:v>
      </x:c>
    </x:row>
    <x:row r="27">
      <x:c r="A27" s="29" t="str">
        <x:v>Africa</x:v>
      </x:c>
      <x:c r="B27" s="29" t="str">
        <x:v>Guinea-Bissau</x:v>
      </x:c>
      <x:c r="C27" s="29" t="str">
        <x:v>JP-Z5</x:v>
      </x:c>
      <x:c r="D27" s="29" t="str">
        <x:v>日本郵便 国際エアパケット</x:v>
      </x:c>
      <x:c r="E27" s="30" t="n">
        <x:v>1500</x:v>
      </x:c>
      <x:c r="F27" s="31" t="n">
        <x:f>ROUNDUP(E27/'設定・注意'!$B$4,0)-0.01</x:f>
        <x:v>10.99</x:v>
      </x:c>
      <x:c r="G27" s="30" t="n">
        <x:v>4200</x:v>
      </x:c>
      <x:c r="H27" s="31" t="n">
        <x:f>ROUNDUP(G27/'設定・注意'!$B$4,0)-0.01</x:f>
        <x:v>28.99</x:v>
      </x:c>
    </x:row>
    <x:row r="28">
      <x:c r="A28" s="29" t="str">
        <x:v>Africa</x:v>
      </x:c>
      <x:c r="B28" s="29" t="str">
        <x:v>Kenya</x:v>
      </x:c>
      <x:c r="C28" s="29" t="str">
        <x:v>JP-Z5</x:v>
      </x:c>
      <x:c r="D28" s="29" t="str">
        <x:v>日本郵便 国際エアパケット</x:v>
      </x:c>
      <x:c r="E28" s="30" t="n">
        <x:v>1500</x:v>
      </x:c>
      <x:c r="F28" s="31" t="n">
        <x:f>ROUNDUP(E28/'設定・注意'!$B$4,0)-0.01</x:f>
        <x:v>10.99</x:v>
      </x:c>
      <x:c r="G28" s="30" t="n">
        <x:v>4200</x:v>
      </x:c>
      <x:c r="H28" s="31" t="n">
        <x:f>ROUNDUP(G28/'設定・注意'!$B$4,0)-0.01</x:f>
        <x:v>28.99</x:v>
      </x:c>
    </x:row>
    <x:row r="29">
      <x:c r="A29" s="29" t="str">
        <x:v>Africa</x:v>
      </x:c>
      <x:c r="B29" s="29" t="str">
        <x:v>Lesotho</x:v>
      </x:c>
      <x:c r="C29" s="29" t="str">
        <x:v>JP-Z5</x:v>
      </x:c>
      <x:c r="D29" s="29" t="str">
        <x:v>日本郵便 国際エアパケット</x:v>
      </x:c>
      <x:c r="E29" s="30" t="n">
        <x:v>1500</x:v>
      </x:c>
      <x:c r="F29" s="31" t="n">
        <x:f>ROUNDUP(E29/'設定・注意'!$B$4,0)-0.01</x:f>
        <x:v>10.99</x:v>
      </x:c>
      <x:c r="G29" s="30" t="n">
        <x:v>4200</x:v>
      </x:c>
      <x:c r="H29" s="31" t="n">
        <x:f>ROUNDUP(G29/'設定・注意'!$B$4,0)-0.01</x:f>
        <x:v>28.99</x:v>
      </x:c>
    </x:row>
    <x:row r="30">
      <x:c r="A30" s="29" t="str">
        <x:v>Africa</x:v>
      </x:c>
      <x:c r="B30" s="29" t="str">
        <x:v>Liberia</x:v>
      </x:c>
      <x:c r="C30" s="29" t="str">
        <x:v>JP-Z5</x:v>
      </x:c>
      <x:c r="D30" s="29" t="str">
        <x:v>日本郵便 国際エアパケット</x:v>
      </x:c>
      <x:c r="E30" s="30" t="n">
        <x:v>1500</x:v>
      </x:c>
      <x:c r="F30" s="31" t="n">
        <x:f>ROUNDUP(E30/'設定・注意'!$B$4,0)-0.01</x:f>
        <x:v>10.99</x:v>
      </x:c>
      <x:c r="G30" s="30" t="n">
        <x:v>4200</x:v>
      </x:c>
      <x:c r="H30" s="31" t="n">
        <x:f>ROUNDUP(G30/'設定・注意'!$B$4,0)-0.01</x:f>
        <x:v>28.99</x:v>
      </x:c>
    </x:row>
    <x:row r="31">
      <x:c r="A31" s="29" t="str">
        <x:v>Africa</x:v>
      </x:c>
      <x:c r="B31" s="29" t="str">
        <x:v>Libya</x:v>
      </x:c>
      <x:c r="C31" s="29" t="str">
        <x:v>JP-Z5</x:v>
      </x:c>
      <x:c r="D31" s="29" t="str">
        <x:v>日本郵便 国際エアパケット</x:v>
      </x:c>
      <x:c r="E31" s="30" t="n">
        <x:v>1500</x:v>
      </x:c>
      <x:c r="F31" s="31" t="n">
        <x:f>ROUNDUP(E31/'設定・注意'!$B$4,0)-0.01</x:f>
        <x:v>10.99</x:v>
      </x:c>
      <x:c r="G31" s="30" t="n">
        <x:v>4200</x:v>
      </x:c>
      <x:c r="H31" s="31" t="n">
        <x:f>ROUNDUP(G31/'設定・注意'!$B$4,0)-0.01</x:f>
        <x:v>28.99</x:v>
      </x:c>
    </x:row>
    <x:row r="32">
      <x:c r="A32" s="29" t="str">
        <x:v>Africa</x:v>
      </x:c>
      <x:c r="B32" s="29" t="str">
        <x:v>Madagascar</x:v>
      </x:c>
      <x:c r="C32" s="29" t="str">
        <x:v>JP-Z5</x:v>
      </x:c>
      <x:c r="D32" s="29" t="str">
        <x:v>日本郵便 国際エアパケット</x:v>
      </x:c>
      <x:c r="E32" s="30" t="n">
        <x:v>1500</x:v>
      </x:c>
      <x:c r="F32" s="31" t="n">
        <x:f>ROUNDUP(E32/'設定・注意'!$B$4,0)-0.01</x:f>
        <x:v>10.99</x:v>
      </x:c>
      <x:c r="G32" s="30" t="n">
        <x:v>4200</x:v>
      </x:c>
      <x:c r="H32" s="31" t="n">
        <x:f>ROUNDUP(G32/'設定・注意'!$B$4,0)-0.01</x:f>
        <x:v>28.99</x:v>
      </x:c>
    </x:row>
    <x:row r="33">
      <x:c r="A33" s="29" t="str">
        <x:v>Africa</x:v>
      </x:c>
      <x:c r="B33" s="29" t="str">
        <x:v>Malawi</x:v>
      </x:c>
      <x:c r="C33" s="29" t="str">
        <x:v>JP-Z5</x:v>
      </x:c>
      <x:c r="D33" s="29" t="str">
        <x:v>日本郵便 国際エアパケット</x:v>
      </x:c>
      <x:c r="E33" s="30" t="n">
        <x:v>1500</x:v>
      </x:c>
      <x:c r="F33" s="31" t="n">
        <x:f>ROUNDUP(E33/'設定・注意'!$B$4,0)-0.01</x:f>
        <x:v>10.99</x:v>
      </x:c>
      <x:c r="G33" s="30" t="n">
        <x:v>4200</x:v>
      </x:c>
      <x:c r="H33" s="31" t="n">
        <x:f>ROUNDUP(G33/'設定・注意'!$B$4,0)-0.01</x:f>
        <x:v>28.99</x:v>
      </x:c>
    </x:row>
    <x:row r="34">
      <x:c r="A34" s="29" t="str">
        <x:v>Africa</x:v>
      </x:c>
      <x:c r="B34" s="29" t="str">
        <x:v>Mali</x:v>
      </x:c>
      <x:c r="C34" s="29" t="str">
        <x:v>JP-Z5</x:v>
      </x:c>
      <x:c r="D34" s="29" t="str">
        <x:v>日本郵便 国際エアパケット</x:v>
      </x:c>
      <x:c r="E34" s="30" t="n">
        <x:v>1500</x:v>
      </x:c>
      <x:c r="F34" s="31" t="n">
        <x:f>ROUNDUP(E34/'設定・注意'!$B$4,0)-0.01</x:f>
        <x:v>10.99</x:v>
      </x:c>
      <x:c r="G34" s="30" t="n">
        <x:v>4200</x:v>
      </x:c>
      <x:c r="H34" s="31" t="n">
        <x:f>ROUNDUP(G34/'設定・注意'!$B$4,0)-0.01</x:f>
        <x:v>28.99</x:v>
      </x:c>
    </x:row>
    <x:row r="35">
      <x:c r="A35" s="29" t="str">
        <x:v>Africa</x:v>
      </x:c>
      <x:c r="B35" s="29" t="str">
        <x:v>Mauritania</x:v>
      </x:c>
      <x:c r="C35" s="29" t="str">
        <x:v>JP-Z5</x:v>
      </x:c>
      <x:c r="D35" s="29" t="str">
        <x:v>日本郵便 国際エアパケット</x:v>
      </x:c>
      <x:c r="E35" s="30" t="n">
        <x:v>1500</x:v>
      </x:c>
      <x:c r="F35" s="31" t="n">
        <x:f>ROUNDUP(E35/'設定・注意'!$B$4,0)-0.01</x:f>
        <x:v>10.99</x:v>
      </x:c>
      <x:c r="G35" s="30" t="n">
        <x:v>4200</x:v>
      </x:c>
      <x:c r="H35" s="31" t="n">
        <x:f>ROUNDUP(G35/'設定・注意'!$B$4,0)-0.01</x:f>
        <x:v>28.99</x:v>
      </x:c>
    </x:row>
    <x:row r="36">
      <x:c r="A36" s="29" t="str">
        <x:v>Africa</x:v>
      </x:c>
      <x:c r="B36" s="29" t="str">
        <x:v>Mauritius</x:v>
      </x:c>
      <x:c r="C36" s="29" t="str">
        <x:v>JP-Z5</x:v>
      </x:c>
      <x:c r="D36" s="29" t="str">
        <x:v>日本郵便 国際エアパケット</x:v>
      </x:c>
      <x:c r="E36" s="30" t="n">
        <x:v>1500</x:v>
      </x:c>
      <x:c r="F36" s="31" t="n">
        <x:f>ROUNDUP(E36/'設定・注意'!$B$4,0)-0.01</x:f>
        <x:v>10.99</x:v>
      </x:c>
      <x:c r="G36" s="30" t="n">
        <x:v>4200</x:v>
      </x:c>
      <x:c r="H36" s="31" t="n">
        <x:f>ROUNDUP(G36/'設定・注意'!$B$4,0)-0.01</x:f>
        <x:v>28.99</x:v>
      </x:c>
    </x:row>
    <x:row r="37">
      <x:c r="A37" s="29" t="str">
        <x:v>Africa</x:v>
      </x:c>
      <x:c r="B37" s="29" t="str">
        <x:v>Mayotte</x:v>
      </x:c>
      <x:c r="C37" s="29" t="str">
        <x:v>JP-Z5</x:v>
      </x:c>
      <x:c r="D37" s="29" t="str">
        <x:v>日本郵便 国際エアパケット</x:v>
      </x:c>
      <x:c r="E37" s="30" t="n">
        <x:v>1500</x:v>
      </x:c>
      <x:c r="F37" s="31" t="n">
        <x:f>ROUNDUP(E37/'設定・注意'!$B$4,0)-0.01</x:f>
        <x:v>10.99</x:v>
      </x:c>
      <x:c r="G37" s="30" t="n">
        <x:v>4200</x:v>
      </x:c>
      <x:c r="H37" s="31" t="n">
        <x:f>ROUNDUP(G37/'設定・注意'!$B$4,0)-0.01</x:f>
        <x:v>28.99</x:v>
      </x:c>
    </x:row>
    <x:row r="38">
      <x:c r="A38" s="29" t="str">
        <x:v>Africa</x:v>
      </x:c>
      <x:c r="B38" s="29" t="str">
        <x:v>Morocco</x:v>
      </x:c>
      <x:c r="C38" s="29" t="str">
        <x:v>JP-Z5</x:v>
      </x:c>
      <x:c r="D38" s="29" t="str">
        <x:v>日本郵便 国際エアパケット</x:v>
      </x:c>
      <x:c r="E38" s="30" t="n">
        <x:v>1500</x:v>
      </x:c>
      <x:c r="F38" s="31" t="n">
        <x:f>ROUNDUP(E38/'設定・注意'!$B$4,0)-0.01</x:f>
        <x:v>10.99</x:v>
      </x:c>
      <x:c r="G38" s="30" t="n">
        <x:v>4200</x:v>
      </x:c>
      <x:c r="H38" s="31" t="n">
        <x:f>ROUNDUP(G38/'設定・注意'!$B$4,0)-0.01</x:f>
        <x:v>28.99</x:v>
      </x:c>
    </x:row>
    <x:row r="39">
      <x:c r="A39" s="29" t="str">
        <x:v>Africa</x:v>
      </x:c>
      <x:c r="B39" s="29" t="str">
        <x:v>Mozambique</x:v>
      </x:c>
      <x:c r="C39" s="29" t="str">
        <x:v>JP-Z5</x:v>
      </x:c>
      <x:c r="D39" s="29" t="str">
        <x:v>日本郵便 国際エアパケット</x:v>
      </x:c>
      <x:c r="E39" s="30" t="n">
        <x:v>1500</x:v>
      </x:c>
      <x:c r="F39" s="31" t="n">
        <x:f>ROUNDUP(E39/'設定・注意'!$B$4,0)-0.01</x:f>
        <x:v>10.99</x:v>
      </x:c>
      <x:c r="G39" s="30" t="n">
        <x:v>4200</x:v>
      </x:c>
      <x:c r="H39" s="31" t="n">
        <x:f>ROUNDUP(G39/'設定・注意'!$B$4,0)-0.01</x:f>
        <x:v>28.99</x:v>
      </x:c>
    </x:row>
    <x:row r="40">
      <x:c r="A40" s="29" t="str">
        <x:v>Africa</x:v>
      </x:c>
      <x:c r="B40" s="29" t="str">
        <x:v>Namibia</x:v>
      </x:c>
      <x:c r="C40" s="29" t="str">
        <x:v>JP-Z5</x:v>
      </x:c>
      <x:c r="D40" s="29" t="str">
        <x:v>日本郵便 国際エアパケット</x:v>
      </x:c>
      <x:c r="E40" s="30" t="n">
        <x:v>1500</x:v>
      </x:c>
      <x:c r="F40" s="31" t="n">
        <x:f>ROUNDUP(E40/'設定・注意'!$B$4,0)-0.01</x:f>
        <x:v>10.99</x:v>
      </x:c>
      <x:c r="G40" s="30" t="n">
        <x:v>4200</x:v>
      </x:c>
      <x:c r="H40" s="31" t="n">
        <x:f>ROUNDUP(G40/'設定・注意'!$B$4,0)-0.01</x:f>
        <x:v>28.99</x:v>
      </x:c>
    </x:row>
    <x:row r="41">
      <x:c r="A41" s="29" t="str">
        <x:v>Africa</x:v>
      </x:c>
      <x:c r="B41" s="29" t="str">
        <x:v>Niger</x:v>
      </x:c>
      <x:c r="C41" s="29" t="str">
        <x:v>JP-Z5</x:v>
      </x:c>
      <x:c r="D41" s="29" t="str">
        <x:v>日本郵便 国際エアパケット</x:v>
      </x:c>
      <x:c r="E41" s="30" t="n">
        <x:v>1500</x:v>
      </x:c>
      <x:c r="F41" s="31" t="n">
        <x:f>ROUNDUP(E41/'設定・注意'!$B$4,0)-0.01</x:f>
        <x:v>10.99</x:v>
      </x:c>
      <x:c r="G41" s="30" t="n">
        <x:v>4200</x:v>
      </x:c>
      <x:c r="H41" s="31" t="n">
        <x:f>ROUNDUP(G41/'設定・注意'!$B$4,0)-0.01</x:f>
        <x:v>28.99</x:v>
      </x:c>
    </x:row>
    <x:row r="42">
      <x:c r="A42" s="29" t="str">
        <x:v>Africa</x:v>
      </x:c>
      <x:c r="B42" s="29" t="str">
        <x:v>Nigeria</x:v>
      </x:c>
      <x:c r="C42" s="29" t="str">
        <x:v>JP-Z5</x:v>
      </x:c>
      <x:c r="D42" s="29" t="str">
        <x:v>日本郵便 国際エアパケット</x:v>
      </x:c>
      <x:c r="E42" s="30" t="n">
        <x:v>1500</x:v>
      </x:c>
      <x:c r="F42" s="31" t="n">
        <x:f>ROUNDUP(E42/'設定・注意'!$B$4,0)-0.01</x:f>
        <x:v>10.99</x:v>
      </x:c>
      <x:c r="G42" s="30" t="n">
        <x:v>4200</x:v>
      </x:c>
      <x:c r="H42" s="31" t="n">
        <x:f>ROUNDUP(G42/'設定・注意'!$B$4,0)-0.01</x:f>
        <x:v>28.99</x:v>
      </x:c>
    </x:row>
    <x:row r="43">
      <x:c r="A43" s="29" t="str">
        <x:v>Africa</x:v>
      </x:c>
      <x:c r="B43" s="29" t="str">
        <x:v>Reunion</x:v>
      </x:c>
      <x:c r="C43" s="29" t="str">
        <x:v>JP-Z5</x:v>
      </x:c>
      <x:c r="D43" s="29" t="str">
        <x:v>日本郵便 国際エアパケット</x:v>
      </x:c>
      <x:c r="E43" s="30" t="n">
        <x:v>1500</x:v>
      </x:c>
      <x:c r="F43" s="31" t="n">
        <x:f>ROUNDUP(E43/'設定・注意'!$B$4,0)-0.01</x:f>
        <x:v>10.99</x:v>
      </x:c>
      <x:c r="G43" s="30" t="n">
        <x:v>4200</x:v>
      </x:c>
      <x:c r="H43" s="31" t="n">
        <x:f>ROUNDUP(G43/'設定・注意'!$B$4,0)-0.01</x:f>
        <x:v>28.99</x:v>
      </x:c>
    </x:row>
    <x:row r="44">
      <x:c r="A44" s="29" t="str">
        <x:v>Africa</x:v>
      </x:c>
      <x:c r="B44" s="29" t="str">
        <x:v>Rwanda</x:v>
      </x:c>
      <x:c r="C44" s="29" t="str">
        <x:v>JP-Z5</x:v>
      </x:c>
      <x:c r="D44" s="29" t="str">
        <x:v>日本郵便 国際エアパケット</x:v>
      </x:c>
      <x:c r="E44" s="30" t="n">
        <x:v>1500</x:v>
      </x:c>
      <x:c r="F44" s="31" t="n">
        <x:f>ROUNDUP(E44/'設定・注意'!$B$4,0)-0.01</x:f>
        <x:v>10.99</x:v>
      </x:c>
      <x:c r="G44" s="30" t="n">
        <x:v>4200</x:v>
      </x:c>
      <x:c r="H44" s="31" t="n">
        <x:f>ROUNDUP(G44/'設定・注意'!$B$4,0)-0.01</x:f>
        <x:v>28.99</x:v>
      </x:c>
    </x:row>
    <x:row r="45">
      <x:c r="A45" s="29" t="str">
        <x:v>Africa</x:v>
      </x:c>
      <x:c r="B45" s="29" t="str">
        <x:v>Saint Helena</x:v>
      </x:c>
      <x:c r="C45" s="29" t="str">
        <x:v>JP-Z5</x:v>
      </x:c>
      <x:c r="D45" s="29" t="str">
        <x:v>日本郵便 国際エアパケット</x:v>
      </x:c>
      <x:c r="E45" s="30" t="n">
        <x:v>1500</x:v>
      </x:c>
      <x:c r="F45" s="31" t="n">
        <x:f>ROUNDUP(E45/'設定・注意'!$B$4,0)-0.01</x:f>
        <x:v>10.99</x:v>
      </x:c>
      <x:c r="G45" s="30" t="n">
        <x:v>4200</x:v>
      </x:c>
      <x:c r="H45" s="31" t="n">
        <x:f>ROUNDUP(G45/'設定・注意'!$B$4,0)-0.01</x:f>
        <x:v>28.99</x:v>
      </x:c>
    </x:row>
    <x:row r="46">
      <x:c r="A46" s="29" t="str">
        <x:v>Africa</x:v>
      </x:c>
      <x:c r="B46" s="29" t="str">
        <x:v>Senegal</x:v>
      </x:c>
      <x:c r="C46" s="29" t="str">
        <x:v>JP-Z5</x:v>
      </x:c>
      <x:c r="D46" s="29" t="str">
        <x:v>日本郵便 国際エアパケット</x:v>
      </x:c>
      <x:c r="E46" s="30" t="n">
        <x:v>1500</x:v>
      </x:c>
      <x:c r="F46" s="31" t="n">
        <x:f>ROUNDUP(E46/'設定・注意'!$B$4,0)-0.01</x:f>
        <x:v>10.99</x:v>
      </x:c>
      <x:c r="G46" s="30" t="n">
        <x:v>4200</x:v>
      </x:c>
      <x:c r="H46" s="31" t="n">
        <x:f>ROUNDUP(G46/'設定・注意'!$B$4,0)-0.01</x:f>
        <x:v>28.99</x:v>
      </x:c>
    </x:row>
    <x:row r="47">
      <x:c r="A47" s="29" t="str">
        <x:v>Africa</x:v>
      </x:c>
      <x:c r="B47" s="29" t="str">
        <x:v>Seychelles</x:v>
      </x:c>
      <x:c r="C47" s="29" t="str">
        <x:v>JP-Z5</x:v>
      </x:c>
      <x:c r="D47" s="29" t="str">
        <x:v>日本郵便 国際エアパケット</x:v>
      </x:c>
      <x:c r="E47" s="30" t="n">
        <x:v>1500</x:v>
      </x:c>
      <x:c r="F47" s="31" t="n">
        <x:f>ROUNDUP(E47/'設定・注意'!$B$4,0)-0.01</x:f>
        <x:v>10.99</x:v>
      </x:c>
      <x:c r="G47" s="30" t="n">
        <x:v>4200</x:v>
      </x:c>
      <x:c r="H47" s="31" t="n">
        <x:f>ROUNDUP(G47/'設定・注意'!$B$4,0)-0.01</x:f>
        <x:v>28.99</x:v>
      </x:c>
    </x:row>
    <x:row r="48">
      <x:c r="A48" s="29" t="str">
        <x:v>Africa</x:v>
      </x:c>
      <x:c r="B48" s="29" t="str">
        <x:v>Sierra Leone</x:v>
      </x:c>
      <x:c r="C48" s="29" t="str">
        <x:v>JP-Z5</x:v>
      </x:c>
      <x:c r="D48" s="29" t="str">
        <x:v>日本郵便 国際エアパケット</x:v>
      </x:c>
      <x:c r="E48" s="30" t="n">
        <x:v>1500</x:v>
      </x:c>
      <x:c r="F48" s="31" t="n">
        <x:f>ROUNDUP(E48/'設定・注意'!$B$4,0)-0.01</x:f>
        <x:v>10.99</x:v>
      </x:c>
      <x:c r="G48" s="30" t="n">
        <x:v>4200</x:v>
      </x:c>
      <x:c r="H48" s="31" t="n">
        <x:f>ROUNDUP(G48/'設定・注意'!$B$4,0)-0.01</x:f>
        <x:v>28.99</x:v>
      </x:c>
    </x:row>
    <x:row r="49">
      <x:c r="A49" s="29" t="str">
        <x:v>Africa</x:v>
      </x:c>
      <x:c r="B49" s="29" t="str">
        <x:v>Somalia</x:v>
      </x:c>
      <x:c r="C49" s="29" t="str">
        <x:v>JP-Z5</x:v>
      </x:c>
      <x:c r="D49" s="29" t="str">
        <x:v>日本郵便 国際エアパケット</x:v>
      </x:c>
      <x:c r="E49" s="30" t="n">
        <x:v>1500</x:v>
      </x:c>
      <x:c r="F49" s="31" t="n">
        <x:f>ROUNDUP(E49/'設定・注意'!$B$4,0)-0.01</x:f>
        <x:v>10.99</x:v>
      </x:c>
      <x:c r="G49" s="30" t="n">
        <x:v>4200</x:v>
      </x:c>
      <x:c r="H49" s="31" t="n">
        <x:f>ROUNDUP(G49/'設定・注意'!$B$4,0)-0.01</x:f>
        <x:v>28.99</x:v>
      </x:c>
    </x:row>
    <x:row r="50">
      <x:c r="A50" s="29" t="str">
        <x:v>Africa</x:v>
      </x:c>
      <x:c r="B50" s="29" t="str">
        <x:v>South Africa</x:v>
      </x:c>
      <x:c r="C50" s="29" t="str">
        <x:v>JP-Z5</x:v>
      </x:c>
      <x:c r="D50" s="29" t="str">
        <x:v>日本郵便 国際エアパケット</x:v>
      </x:c>
      <x:c r="E50" s="30" t="n">
        <x:v>1500</x:v>
      </x:c>
      <x:c r="F50" s="31" t="n">
        <x:f>ROUNDUP(E50/'設定・注意'!$B$4,0)-0.01</x:f>
        <x:v>10.99</x:v>
      </x:c>
      <x:c r="G50" s="30" t="n">
        <x:v>4200</x:v>
      </x:c>
      <x:c r="H50" s="31" t="n">
        <x:f>ROUNDUP(G50/'設定・注意'!$B$4,0)-0.01</x:f>
        <x:v>28.99</x:v>
      </x:c>
    </x:row>
    <x:row r="51">
      <x:c r="A51" s="29" t="str">
        <x:v>Africa</x:v>
      </x:c>
      <x:c r="B51" s="29" t="str">
        <x:v>Swaziland</x:v>
      </x:c>
      <x:c r="C51" s="29" t="str">
        <x:v>JP-Z5</x:v>
      </x:c>
      <x:c r="D51" s="29" t="str">
        <x:v>日本郵便 国際エアパケット</x:v>
      </x:c>
      <x:c r="E51" s="30" t="n">
        <x:v>1500</x:v>
      </x:c>
      <x:c r="F51" s="31" t="n">
        <x:f>ROUNDUP(E51/'設定・注意'!$B$4,0)-0.01</x:f>
        <x:v>10.99</x:v>
      </x:c>
      <x:c r="G51" s="30" t="n">
        <x:v>4200</x:v>
      </x:c>
      <x:c r="H51" s="31" t="n">
        <x:f>ROUNDUP(G51/'設定・注意'!$B$4,0)-0.01</x:f>
        <x:v>28.99</x:v>
      </x:c>
    </x:row>
    <x:row r="52">
      <x:c r="A52" s="29" t="str">
        <x:v>Africa</x:v>
      </x:c>
      <x:c r="B52" s="29" t="str">
        <x:v>Tanzania</x:v>
      </x:c>
      <x:c r="C52" s="29" t="str">
        <x:v>JP-Z5</x:v>
      </x:c>
      <x:c r="D52" s="29" t="str">
        <x:v>日本郵便 国際エアパケット</x:v>
      </x:c>
      <x:c r="E52" s="30" t="n">
        <x:v>1500</x:v>
      </x:c>
      <x:c r="F52" s="31" t="n">
        <x:f>ROUNDUP(E52/'設定・注意'!$B$4,0)-0.01</x:f>
        <x:v>10.99</x:v>
      </x:c>
      <x:c r="G52" s="30" t="n">
        <x:v>4200</x:v>
      </x:c>
      <x:c r="H52" s="31" t="n">
        <x:f>ROUNDUP(G52/'設定・注意'!$B$4,0)-0.01</x:f>
        <x:v>28.99</x:v>
      </x:c>
    </x:row>
    <x:row r="53">
      <x:c r="A53" s="29" t="str">
        <x:v>Africa</x:v>
      </x:c>
      <x:c r="B53" s="29" t="str">
        <x:v>Togo</x:v>
      </x:c>
      <x:c r="C53" s="29" t="str">
        <x:v>JP-Z5</x:v>
      </x:c>
      <x:c r="D53" s="29" t="str">
        <x:v>日本郵便 国際エアパケット</x:v>
      </x:c>
      <x:c r="E53" s="30" t="n">
        <x:v>1500</x:v>
      </x:c>
      <x:c r="F53" s="31" t="n">
        <x:f>ROUNDUP(E53/'設定・注意'!$B$4,0)-0.01</x:f>
        <x:v>10.99</x:v>
      </x:c>
      <x:c r="G53" s="30" t="n">
        <x:v>4200</x:v>
      </x:c>
      <x:c r="H53" s="31" t="n">
        <x:f>ROUNDUP(G53/'設定・注意'!$B$4,0)-0.01</x:f>
        <x:v>28.99</x:v>
      </x:c>
    </x:row>
    <x:row r="54">
      <x:c r="A54" s="29" t="str">
        <x:v>Africa</x:v>
      </x:c>
      <x:c r="B54" s="29" t="str">
        <x:v>Tunisia</x:v>
      </x:c>
      <x:c r="C54" s="29" t="str">
        <x:v>JP-Z5</x:v>
      </x:c>
      <x:c r="D54" s="29" t="str">
        <x:v>日本郵便 国際エアパケット</x:v>
      </x:c>
      <x:c r="E54" s="30" t="n">
        <x:v>1500</x:v>
      </x:c>
      <x:c r="F54" s="31" t="n">
        <x:f>ROUNDUP(E54/'設定・注意'!$B$4,0)-0.01</x:f>
        <x:v>10.99</x:v>
      </x:c>
      <x:c r="G54" s="30" t="n">
        <x:v>4200</x:v>
      </x:c>
      <x:c r="H54" s="31" t="n">
        <x:f>ROUNDUP(G54/'設定・注意'!$B$4,0)-0.01</x:f>
        <x:v>28.99</x:v>
      </x:c>
    </x:row>
    <x:row r="55">
      <x:c r="A55" s="29" t="str">
        <x:v>Africa</x:v>
      </x:c>
      <x:c r="B55" s="29" t="str">
        <x:v>Uganda</x:v>
      </x:c>
      <x:c r="C55" s="29" t="str">
        <x:v>JP-Z5</x:v>
      </x:c>
      <x:c r="D55" s="29" t="str">
        <x:v>日本郵便 国際エアパケット</x:v>
      </x:c>
      <x:c r="E55" s="30" t="n">
        <x:v>1500</x:v>
      </x:c>
      <x:c r="F55" s="31" t="n">
        <x:f>ROUNDUP(E55/'設定・注意'!$B$4,0)-0.01</x:f>
        <x:v>10.99</x:v>
      </x:c>
      <x:c r="G55" s="30" t="n">
        <x:v>4200</x:v>
      </x:c>
      <x:c r="H55" s="31" t="n">
        <x:f>ROUNDUP(G55/'設定・注意'!$B$4,0)-0.01</x:f>
        <x:v>28.99</x:v>
      </x:c>
    </x:row>
    <x:row r="56">
      <x:c r="A56" s="29" t="str">
        <x:v>Africa</x:v>
      </x:c>
      <x:c r="B56" s="29" t="str">
        <x:v>Western Sahara</x:v>
      </x:c>
      <x:c r="C56" s="29" t="str">
        <x:v>JP-Z5</x:v>
      </x:c>
      <x:c r="D56" s="29" t="str">
        <x:v>日本郵便 国際エアパケット</x:v>
      </x:c>
      <x:c r="E56" s="30" t="n">
        <x:v>1500</x:v>
      </x:c>
      <x:c r="F56" s="31" t="n">
        <x:f>ROUNDUP(E56/'設定・注意'!$B$4,0)-0.01</x:f>
        <x:v>10.99</x:v>
      </x:c>
      <x:c r="G56" s="30" t="n">
        <x:v>4200</x:v>
      </x:c>
      <x:c r="H56" s="31" t="n">
        <x:f>ROUNDUP(G56/'設定・注意'!$B$4,0)-0.01</x:f>
        <x:v>28.99</x:v>
      </x:c>
    </x:row>
    <x:row r="57">
      <x:c r="A57" s="29" t="str">
        <x:v>Africa</x:v>
      </x:c>
      <x:c r="B57" s="29" t="str">
        <x:v>Zambia</x:v>
      </x:c>
      <x:c r="C57" s="29" t="str">
        <x:v>JP-Z5</x:v>
      </x:c>
      <x:c r="D57" s="29" t="str">
        <x:v>日本郵便 国際エアパケット</x:v>
      </x:c>
      <x:c r="E57" s="30" t="n">
        <x:v>1500</x:v>
      </x:c>
      <x:c r="F57" s="31" t="n">
        <x:f>ROUNDUP(E57/'設定・注意'!$B$4,0)-0.01</x:f>
        <x:v>10.99</x:v>
      </x:c>
      <x:c r="G57" s="30" t="n">
        <x:v>4200</x:v>
      </x:c>
      <x:c r="H57" s="31" t="n">
        <x:f>ROUNDUP(G57/'設定・注意'!$B$4,0)-0.01</x:f>
        <x:v>28.99</x:v>
      </x:c>
    </x:row>
    <x:row r="58">
      <x:c r="A58" s="29" t="str">
        <x:v>Africa</x:v>
      </x:c>
      <x:c r="B58" s="29" t="str">
        <x:v>Zimbabwe</x:v>
      </x:c>
      <x:c r="C58" s="29" t="str">
        <x:v>JP-Z5</x:v>
      </x:c>
      <x:c r="D58" s="29" t="str">
        <x:v>日本郵便 国際エアパケット</x:v>
      </x:c>
      <x:c r="E58" s="30" t="n">
        <x:v>1500</x:v>
      </x:c>
      <x:c r="F58" s="31" t="n">
        <x:f>ROUNDUP(E58/'設定・注意'!$B$4,0)-0.01</x:f>
        <x:v>10.99</x:v>
      </x:c>
      <x:c r="G58" s="30" t="n">
        <x:v>4200</x:v>
      </x:c>
      <x:c r="H58" s="31" t="n">
        <x:f>ROUNDUP(G58/'設定・注意'!$B$4,0)-0.01</x:f>
        <x:v>28.99</x:v>
      </x:c>
    </x:row>
    <x:row r="59">
      <x:c r="A59" s="29" t="str">
        <x:v>Asia</x:v>
      </x:c>
      <x:c r="B59" s="29" t="str">
        <x:v>Afghanistan</x:v>
      </x:c>
      <x:c r="C59" s="29" t="str">
        <x:v>JP-Z2</x:v>
      </x:c>
      <x:c r="D59" s="29" t="str">
        <x:v>日本郵便 国際エアパケット</x:v>
      </x:c>
      <x:c r="E59" s="30" t="n">
        <x:v>1300</x:v>
      </x:c>
      <x:c r="F59" s="31" t="n">
        <x:f>ROUNDUP(E59/'設定・注意'!$B$4,0)-0.01</x:f>
        <x:v>8.99</x:v>
      </x:c>
      <x:c r="G59" s="30" t="n">
        <x:v>2600</x:v>
      </x:c>
      <x:c r="H59" s="31" t="n">
        <x:f>ROUNDUP(G59/'設定・注意'!$B$4,0)-0.01</x:f>
        <x:v>17.99</x:v>
      </x:c>
    </x:row>
    <x:row r="60">
      <x:c r="A60" s="29" t="str">
        <x:v>Asia</x:v>
      </x:c>
      <x:c r="B60" s="29" t="str">
        <x:v>Armenia</x:v>
      </x:c>
      <x:c r="C60" s="29" t="str">
        <x:v>JP-Z2</x:v>
      </x:c>
      <x:c r="D60" s="29" t="str">
        <x:v>日本郵便 国際エアパケット</x:v>
      </x:c>
      <x:c r="E60" s="30" t="n">
        <x:v>1300</x:v>
      </x:c>
      <x:c r="F60" s="31" t="n">
        <x:f>ROUNDUP(E60/'設定・注意'!$B$4,0)-0.01</x:f>
        <x:v>8.99</x:v>
      </x:c>
      <x:c r="G60" s="30" t="n">
        <x:v>2600</x:v>
      </x:c>
      <x:c r="H60" s="31" t="n">
        <x:f>ROUNDUP(G60/'設定・注意'!$B$4,0)-0.01</x:f>
        <x:v>17.99</x:v>
      </x:c>
    </x:row>
    <x:row r="61">
      <x:c r="A61" s="29" t="str">
        <x:v>Asia</x:v>
      </x:c>
      <x:c r="B61" s="29" t="str">
        <x:v>Azerbaijan Republic</x:v>
      </x:c>
      <x:c r="C61" s="29" t="str">
        <x:v>JP-Z2</x:v>
      </x:c>
      <x:c r="D61" s="29" t="str">
        <x:v>日本郵便 国際エアパケット</x:v>
      </x:c>
      <x:c r="E61" s="30" t="n">
        <x:v>1300</x:v>
      </x:c>
      <x:c r="F61" s="31" t="n">
        <x:f>ROUNDUP(E61/'設定・注意'!$B$4,0)-0.01</x:f>
        <x:v>8.99</x:v>
      </x:c>
      <x:c r="G61" s="30" t="n">
        <x:v>2600</x:v>
      </x:c>
      <x:c r="H61" s="31" t="n">
        <x:f>ROUNDUP(G61/'設定・注意'!$B$4,0)-0.01</x:f>
        <x:v>17.99</x:v>
      </x:c>
    </x:row>
    <x:row r="62">
      <x:c r="A62" s="29" t="str">
        <x:v>Asia</x:v>
      </x:c>
      <x:c r="B62" s="29" t="str">
        <x:v>Bangladesh</x:v>
      </x:c>
      <x:c r="C62" s="29" t="str">
        <x:v>JP-Z2</x:v>
      </x:c>
      <x:c r="D62" s="29" t="str">
        <x:v>日本郵便 国際エアパケット</x:v>
      </x:c>
      <x:c r="E62" s="30" t="n">
        <x:v>1300</x:v>
      </x:c>
      <x:c r="F62" s="31" t="n">
        <x:f>ROUNDUP(E62/'設定・注意'!$B$4,0)-0.01</x:f>
        <x:v>8.99</x:v>
      </x:c>
      <x:c r="G62" s="30" t="n">
        <x:v>2600</x:v>
      </x:c>
      <x:c r="H62" s="31" t="n">
        <x:f>ROUNDUP(G62/'設定・注意'!$B$4,0)-0.01</x:f>
        <x:v>17.99</x:v>
      </x:c>
    </x:row>
    <x:row r="63">
      <x:c r="A63" s="29" t="str">
        <x:v>Asia</x:v>
      </x:c>
      <x:c r="B63" s="29" t="str">
        <x:v>Bhutan</x:v>
      </x:c>
      <x:c r="C63" s="29" t="str">
        <x:v>JP-Z2</x:v>
      </x:c>
      <x:c r="D63" s="29" t="str">
        <x:v>日本郵便 国際エアパケット</x:v>
      </x:c>
      <x:c r="E63" s="30" t="n">
        <x:v>1300</x:v>
      </x:c>
      <x:c r="F63" s="31" t="n">
        <x:f>ROUNDUP(E63/'設定・注意'!$B$4,0)-0.01</x:f>
        <x:v>8.99</x:v>
      </x:c>
      <x:c r="G63" s="30" t="n">
        <x:v>2600</x:v>
      </x:c>
      <x:c r="H63" s="31" t="n">
        <x:f>ROUNDUP(G63/'設定・注意'!$B$4,0)-0.01</x:f>
        <x:v>17.99</x:v>
      </x:c>
    </x:row>
    <x:row r="64">
      <x:c r="A64" s="29" t="str">
        <x:v>Asia</x:v>
      </x:c>
      <x:c r="B64" s="29" t="str">
        <x:v>China</x:v>
      </x:c>
      <x:c r="C64" s="29" t="str">
        <x:v>JP-Z1</x:v>
      </x:c>
      <x:c r="D64" s="29" t="str">
        <x:v>日本郵便 国際エアパケット</x:v>
      </x:c>
      <x:c r="E64" s="30" t="n">
        <x:v>1200</x:v>
      </x:c>
      <x:c r="F64" s="31" t="n">
        <x:f>ROUNDUP(E64/'設定・注意'!$B$4,0)-0.01</x:f>
        <x:v>8.99</x:v>
      </x:c>
      <x:c r="G64" s="30" t="n">
        <x:v>2300</x:v>
      </x:c>
      <x:c r="H64" s="31" t="n">
        <x:f>ROUNDUP(G64/'設定・注意'!$B$4,0)-0.01</x:f>
        <x:v>15.99</x:v>
      </x:c>
    </x:row>
    <x:row r="65">
      <x:c r="A65" s="29" t="str">
        <x:v>Asia</x:v>
      </x:c>
      <x:c r="B65" s="29" t="str">
        <x:v>Georgia</x:v>
      </x:c>
      <x:c r="C65" s="29" t="str">
        <x:v>JP-Z2</x:v>
      </x:c>
      <x:c r="D65" s="29" t="str">
        <x:v>日本郵便 国際エアパケット</x:v>
      </x:c>
      <x:c r="E65" s="30" t="n">
        <x:v>1300</x:v>
      </x:c>
      <x:c r="F65" s="31" t="n">
        <x:f>ROUNDUP(E65/'設定・注意'!$B$4,0)-0.01</x:f>
        <x:v>8.99</x:v>
      </x:c>
      <x:c r="G65" s="30" t="n">
        <x:v>2600</x:v>
      </x:c>
      <x:c r="H65" s="31" t="n">
        <x:f>ROUNDUP(G65/'設定・注意'!$B$4,0)-0.01</x:f>
        <x:v>17.99</x:v>
      </x:c>
    </x:row>
    <x:row r="66">
      <x:c r="A66" s="29" t="str">
        <x:v>Asia</x:v>
      </x:c>
      <x:c r="B66" s="29" t="str">
        <x:v>India</x:v>
      </x:c>
      <x:c r="C66" s="29" t="str">
        <x:v>JP-Z2</x:v>
      </x:c>
      <x:c r="D66" s="29" t="str">
        <x:v>日本郵便 国際エアパケット</x:v>
      </x:c>
      <x:c r="E66" s="30" t="n">
        <x:v>1300</x:v>
      </x:c>
      <x:c r="F66" s="31" t="n">
        <x:f>ROUNDUP(E66/'設定・注意'!$B$4,0)-0.01</x:f>
        <x:v>8.99</x:v>
      </x:c>
      <x:c r="G66" s="30" t="n">
        <x:v>2600</x:v>
      </x:c>
      <x:c r="H66" s="31" t="n">
        <x:f>ROUNDUP(G66/'設定・注意'!$B$4,0)-0.01</x:f>
        <x:v>17.99</x:v>
      </x:c>
    </x:row>
    <x:row r="67">
      <x:c r="A67" s="29" t="str">
        <x:v>Asia</x:v>
      </x:c>
      <x:c r="B67" s="29" t="str">
        <x:v>Japan</x:v>
      </x:c>
      <x:c r="C67" s="29" t="str">
        <x:v>対象外</x:v>
      </x:c>
      <x:c r="D67" s="29" t="str">
        <x:v>日本国内のため今回の国際設定では選択しない</x:v>
      </x:c>
      <x:c r="E67" s="30"/>
      <x:c r="F67" s="31"/>
      <x:c r="G67" s="30"/>
      <x:c r="H67" s="31"/>
    </x:row>
    <x:row r="68">
      <x:c r="A68" s="29" t="str">
        <x:v>Asia</x:v>
      </x:c>
      <x:c r="B68" s="29" t="str">
        <x:v>Kazakhstan</x:v>
      </x:c>
      <x:c r="C68" s="29" t="str">
        <x:v>JP-Z2</x:v>
      </x:c>
      <x:c r="D68" s="29" t="str">
        <x:v>日本郵便 国際エアパケット</x:v>
      </x:c>
      <x:c r="E68" s="30" t="n">
        <x:v>1300</x:v>
      </x:c>
      <x:c r="F68" s="31" t="n">
        <x:f>ROUNDUP(E68/'設定・注意'!$B$4,0)-0.01</x:f>
        <x:v>8.99</x:v>
      </x:c>
      <x:c r="G68" s="30" t="n">
        <x:v>2600</x:v>
      </x:c>
      <x:c r="H68" s="31" t="n">
        <x:f>ROUNDUP(G68/'設定・注意'!$B$4,0)-0.01</x:f>
        <x:v>17.99</x:v>
      </x:c>
    </x:row>
    <x:row r="69">
      <x:c r="A69" s="29" t="str">
        <x:v>Asia</x:v>
      </x:c>
      <x:c r="B69" s="29" t="str">
        <x:v>Korea, South</x:v>
      </x:c>
      <x:c r="C69" s="29" t="str">
        <x:v>JP-Z1</x:v>
      </x:c>
      <x:c r="D69" s="29" t="str">
        <x:v>日本郵便 国際エアパケット</x:v>
      </x:c>
      <x:c r="E69" s="30" t="n">
        <x:v>1200</x:v>
      </x:c>
      <x:c r="F69" s="31" t="n">
        <x:f>ROUNDUP(E69/'設定・注意'!$B$4,0)-0.01</x:f>
        <x:v>8.99</x:v>
      </x:c>
      <x:c r="G69" s="30" t="n">
        <x:v>2300</x:v>
      </x:c>
      <x:c r="H69" s="31" t="n">
        <x:f>ROUNDUP(G69/'設定・注意'!$B$4,0)-0.01</x:f>
        <x:v>15.99</x:v>
      </x:c>
    </x:row>
    <x:row r="70">
      <x:c r="A70" s="29" t="str">
        <x:v>Asia</x:v>
      </x:c>
      <x:c r="B70" s="29" t="str">
        <x:v>Kyrgyzstan</x:v>
      </x:c>
      <x:c r="C70" s="29" t="str">
        <x:v>JP-Z2</x:v>
      </x:c>
      <x:c r="D70" s="29" t="str">
        <x:v>日本郵便 国際エアパケット</x:v>
      </x:c>
      <x:c r="E70" s="30" t="n">
        <x:v>1300</x:v>
      </x:c>
      <x:c r="F70" s="31" t="n">
        <x:f>ROUNDUP(E70/'設定・注意'!$B$4,0)-0.01</x:f>
        <x:v>8.99</x:v>
      </x:c>
      <x:c r="G70" s="30" t="n">
        <x:v>2600</x:v>
      </x:c>
      <x:c r="H70" s="31" t="n">
        <x:f>ROUNDUP(G70/'設定・注意'!$B$4,0)-0.01</x:f>
        <x:v>17.99</x:v>
      </x:c>
    </x:row>
    <x:row r="71">
      <x:c r="A71" s="29" t="str">
        <x:v>Asia</x:v>
      </x:c>
      <x:c r="B71" s="29" t="str">
        <x:v>Maldives</x:v>
      </x:c>
      <x:c r="C71" s="29" t="str">
        <x:v>JP-Z2</x:v>
      </x:c>
      <x:c r="D71" s="29" t="str">
        <x:v>日本郵便 国際エアパケット</x:v>
      </x:c>
      <x:c r="E71" s="30" t="n">
        <x:v>1300</x:v>
      </x:c>
      <x:c r="F71" s="31" t="n">
        <x:f>ROUNDUP(E71/'設定・注意'!$B$4,0)-0.01</x:f>
        <x:v>8.99</x:v>
      </x:c>
      <x:c r="G71" s="30" t="n">
        <x:v>2600</x:v>
      </x:c>
      <x:c r="H71" s="31" t="n">
        <x:f>ROUNDUP(G71/'設定・注意'!$B$4,0)-0.01</x:f>
        <x:v>17.99</x:v>
      </x:c>
    </x:row>
    <x:row r="72">
      <x:c r="A72" s="29" t="str">
        <x:v>Asia</x:v>
      </x:c>
      <x:c r="B72" s="29" t="str">
        <x:v>Mongolia</x:v>
      </x:c>
      <x:c r="C72" s="29" t="str">
        <x:v>JP-Z2</x:v>
      </x:c>
      <x:c r="D72" s="29" t="str">
        <x:v>日本郵便 国際エアパケット</x:v>
      </x:c>
      <x:c r="E72" s="30" t="n">
        <x:v>1300</x:v>
      </x:c>
      <x:c r="F72" s="31" t="n">
        <x:f>ROUNDUP(E72/'設定・注意'!$B$4,0)-0.01</x:f>
        <x:v>8.99</x:v>
      </x:c>
      <x:c r="G72" s="30" t="n">
        <x:v>2600</x:v>
      </x:c>
      <x:c r="H72" s="31" t="n">
        <x:f>ROUNDUP(G72/'設定・注意'!$B$4,0)-0.01</x:f>
        <x:v>17.99</x:v>
      </x:c>
    </x:row>
    <x:row r="73">
      <x:c r="A73" s="29" t="str">
        <x:v>Asia</x:v>
      </x:c>
      <x:c r="B73" s="29" t="str">
        <x:v>Nepal</x:v>
      </x:c>
      <x:c r="C73" s="29" t="str">
        <x:v>JP-Z2</x:v>
      </x:c>
      <x:c r="D73" s="29" t="str">
        <x:v>日本郵便 国際エアパケット</x:v>
      </x:c>
      <x:c r="E73" s="30" t="n">
        <x:v>1300</x:v>
      </x:c>
      <x:c r="F73" s="31" t="n">
        <x:f>ROUNDUP(E73/'設定・注意'!$B$4,0)-0.01</x:f>
        <x:v>8.99</x:v>
      </x:c>
      <x:c r="G73" s="30" t="n">
        <x:v>2600</x:v>
      </x:c>
      <x:c r="H73" s="31" t="n">
        <x:f>ROUNDUP(G73/'設定・注意'!$B$4,0)-0.01</x:f>
        <x:v>17.99</x:v>
      </x:c>
    </x:row>
    <x:row r="74">
      <x:c r="A74" s="29" t="str">
        <x:v>Asia</x:v>
      </x:c>
      <x:c r="B74" s="29" t="str">
        <x:v>Pakistan</x:v>
      </x:c>
      <x:c r="C74" s="29" t="str">
        <x:v>JP-Z2</x:v>
      </x:c>
      <x:c r="D74" s="29" t="str">
        <x:v>日本郵便 国際エアパケット</x:v>
      </x:c>
      <x:c r="E74" s="30" t="n">
        <x:v>1300</x:v>
      </x:c>
      <x:c r="F74" s="31" t="n">
        <x:f>ROUNDUP(E74/'設定・注意'!$B$4,0)-0.01</x:f>
        <x:v>8.99</x:v>
      </x:c>
      <x:c r="G74" s="30" t="n">
        <x:v>2600</x:v>
      </x:c>
      <x:c r="H74" s="31" t="n">
        <x:f>ROUNDUP(G74/'設定・注意'!$B$4,0)-0.01</x:f>
        <x:v>17.99</x:v>
      </x:c>
    </x:row>
    <x:row r="75">
      <x:c r="A75" s="29" t="str">
        <x:v>Asia</x:v>
      </x:c>
      <x:c r="B75" s="29" t="str">
        <x:v>Sri Lanka</x:v>
      </x:c>
      <x:c r="C75" s="29" t="str">
        <x:v>JP-Z2</x:v>
      </x:c>
      <x:c r="D75" s="29" t="str">
        <x:v>日本郵便 国際エアパケット</x:v>
      </x:c>
      <x:c r="E75" s="30" t="n">
        <x:v>1300</x:v>
      </x:c>
      <x:c r="F75" s="31" t="n">
        <x:f>ROUNDUP(E75/'設定・注意'!$B$4,0)-0.01</x:f>
        <x:v>8.99</x:v>
      </x:c>
      <x:c r="G75" s="30" t="n">
        <x:v>2600</x:v>
      </x:c>
      <x:c r="H75" s="31" t="n">
        <x:f>ROUNDUP(G75/'設定・注意'!$B$4,0)-0.01</x:f>
        <x:v>17.99</x:v>
      </x:c>
    </x:row>
    <x:row r="76">
      <x:c r="A76" s="29" t="str">
        <x:v>Asia</x:v>
      </x:c>
      <x:c r="B76" s="29" t="str">
        <x:v>Tajikistan</x:v>
      </x:c>
      <x:c r="C76" s="29" t="str">
        <x:v>JP-Z2</x:v>
      </x:c>
      <x:c r="D76" s="29" t="str">
        <x:v>日本郵便 国際エアパケット</x:v>
      </x:c>
      <x:c r="E76" s="30" t="n">
        <x:v>1300</x:v>
      </x:c>
      <x:c r="F76" s="31" t="n">
        <x:f>ROUNDUP(E76/'設定・注意'!$B$4,0)-0.01</x:f>
        <x:v>8.99</x:v>
      </x:c>
      <x:c r="G76" s="30" t="n">
        <x:v>2600</x:v>
      </x:c>
      <x:c r="H76" s="31" t="n">
        <x:f>ROUNDUP(G76/'設定・注意'!$B$4,0)-0.01</x:f>
        <x:v>17.99</x:v>
      </x:c>
    </x:row>
    <x:row r="77">
      <x:c r="A77" s="29" t="str">
        <x:v>Asia</x:v>
      </x:c>
      <x:c r="B77" s="29" t="str">
        <x:v>Turkmenistan</x:v>
      </x:c>
      <x:c r="C77" s="29" t="str">
        <x:v>JP-Z2</x:v>
      </x:c>
      <x:c r="D77" s="29" t="str">
        <x:v>日本郵便 国際エアパケット</x:v>
      </x:c>
      <x:c r="E77" s="30" t="n">
        <x:v>1300</x:v>
      </x:c>
      <x:c r="F77" s="31" t="n">
        <x:f>ROUNDUP(E77/'設定・注意'!$B$4,0)-0.01</x:f>
        <x:v>8.99</x:v>
      </x:c>
      <x:c r="G77" s="30" t="n">
        <x:v>2600</x:v>
      </x:c>
      <x:c r="H77" s="31" t="n">
        <x:f>ROUNDUP(G77/'設定・注意'!$B$4,0)-0.01</x:f>
        <x:v>17.99</x:v>
      </x:c>
    </x:row>
    <x:row r="78">
      <x:c r="A78" s="29" t="str">
        <x:v>Asia</x:v>
      </x:c>
      <x:c r="B78" s="29" t="str">
        <x:v>Uzbekistan</x:v>
      </x:c>
      <x:c r="C78" s="29" t="str">
        <x:v>JP-Z2</x:v>
      </x:c>
      <x:c r="D78" s="29" t="str">
        <x:v>日本郵便 国際エアパケット</x:v>
      </x:c>
      <x:c r="E78" s="30" t="n">
        <x:v>1300</x:v>
      </x:c>
      <x:c r="F78" s="31" t="n">
        <x:f>ROUNDUP(E78/'設定・注意'!$B$4,0)-0.01</x:f>
        <x:v>8.99</x:v>
      </x:c>
      <x:c r="G78" s="30" t="n">
        <x:v>2600</x:v>
      </x:c>
      <x:c r="H78" s="31" t="n">
        <x:f>ROUNDUP(G78/'設定・注意'!$B$4,0)-0.01</x:f>
        <x:v>17.99</x:v>
      </x:c>
    </x:row>
    <x:row r="79">
      <x:c r="A79" s="29" t="str">
        <x:v>Central America and Caribbean</x:v>
      </x:c>
      <x:c r="B79" s="29" t="str">
        <x:v>Anguilla</x:v>
      </x:c>
      <x:c r="C79" s="29" t="str">
        <x:v>JP-Z5</x:v>
      </x:c>
      <x:c r="D79" s="29" t="str">
        <x:v>日本郵便 国際エアパケット</x:v>
      </x:c>
      <x:c r="E79" s="30" t="n">
        <x:v>1500</x:v>
      </x:c>
      <x:c r="F79" s="31" t="n">
        <x:f>ROUNDUP(E79/'設定・注意'!$B$4,0)-0.01</x:f>
        <x:v>10.99</x:v>
      </x:c>
      <x:c r="G79" s="30" t="n">
        <x:v>4200</x:v>
      </x:c>
      <x:c r="H79" s="31" t="n">
        <x:f>ROUNDUP(G79/'設定・注意'!$B$4,0)-0.01</x:f>
        <x:v>28.99</x:v>
      </x:c>
    </x:row>
    <x:row r="80">
      <x:c r="A80" s="29" t="str">
        <x:v>Central America and Caribbean</x:v>
      </x:c>
      <x:c r="B80" s="29" t="str">
        <x:v>Antigua and Barbuda</x:v>
      </x:c>
      <x:c r="C80" s="29" t="str">
        <x:v>JP-Z5</x:v>
      </x:c>
      <x:c r="D80" s="29" t="str">
        <x:v>日本郵便 国際エアパケット</x:v>
      </x:c>
      <x:c r="E80" s="30" t="n">
        <x:v>1500</x:v>
      </x:c>
      <x:c r="F80" s="31" t="n">
        <x:f>ROUNDUP(E80/'設定・注意'!$B$4,0)-0.01</x:f>
        <x:v>10.99</x:v>
      </x:c>
      <x:c r="G80" s="30" t="n">
        <x:v>4200</x:v>
      </x:c>
      <x:c r="H80" s="31" t="n">
        <x:f>ROUNDUP(G80/'設定・注意'!$B$4,0)-0.01</x:f>
        <x:v>28.99</x:v>
      </x:c>
    </x:row>
    <x:row r="81">
      <x:c r="A81" s="29" t="str">
        <x:v>Central America and Caribbean</x:v>
      </x:c>
      <x:c r="B81" s="29" t="str">
        <x:v>Aruba</x:v>
      </x:c>
      <x:c r="C81" s="29" t="str">
        <x:v>JP-Z5</x:v>
      </x:c>
      <x:c r="D81" s="29" t="str">
        <x:v>日本郵便 国際エアパケット</x:v>
      </x:c>
      <x:c r="E81" s="30" t="n">
        <x:v>1500</x:v>
      </x:c>
      <x:c r="F81" s="31" t="n">
        <x:f>ROUNDUP(E81/'設定・注意'!$B$4,0)-0.01</x:f>
        <x:v>10.99</x:v>
      </x:c>
      <x:c r="G81" s="30" t="n">
        <x:v>4200</x:v>
      </x:c>
      <x:c r="H81" s="31" t="n">
        <x:f>ROUNDUP(G81/'設定・注意'!$B$4,0)-0.01</x:f>
        <x:v>28.99</x:v>
      </x:c>
    </x:row>
    <x:row r="82">
      <x:c r="A82" s="29" t="str">
        <x:v>Central America and Caribbean</x:v>
      </x:c>
      <x:c r="B82" s="29" t="str">
        <x:v>Bahamas</x:v>
      </x:c>
      <x:c r="C82" s="29" t="str">
        <x:v>JP-Z5</x:v>
      </x:c>
      <x:c r="D82" s="29" t="str">
        <x:v>日本郵便 国際エアパケット</x:v>
      </x:c>
      <x:c r="E82" s="30" t="n">
        <x:v>1500</x:v>
      </x:c>
      <x:c r="F82" s="31" t="n">
        <x:f>ROUNDUP(E82/'設定・注意'!$B$4,0)-0.01</x:f>
        <x:v>10.99</x:v>
      </x:c>
      <x:c r="G82" s="30" t="n">
        <x:v>4200</x:v>
      </x:c>
      <x:c r="H82" s="31" t="n">
        <x:f>ROUNDUP(G82/'設定・注意'!$B$4,0)-0.01</x:f>
        <x:v>28.99</x:v>
      </x:c>
    </x:row>
    <x:row r="83">
      <x:c r="A83" s="29" t="str">
        <x:v>Central America and Caribbean</x:v>
      </x:c>
      <x:c r="B83" s="29" t="str">
        <x:v>Barbados</x:v>
      </x:c>
      <x:c r="C83" s="29" t="str">
        <x:v>JP-Z5</x:v>
      </x:c>
      <x:c r="D83" s="29" t="str">
        <x:v>日本郵便 国際エアパケット</x:v>
      </x:c>
      <x:c r="E83" s="30" t="n">
        <x:v>1500</x:v>
      </x:c>
      <x:c r="F83" s="31" t="n">
        <x:f>ROUNDUP(E83/'設定・注意'!$B$4,0)-0.01</x:f>
        <x:v>10.99</x:v>
      </x:c>
      <x:c r="G83" s="30" t="n">
        <x:v>4200</x:v>
      </x:c>
      <x:c r="H83" s="31" t="n">
        <x:f>ROUNDUP(G83/'設定・注意'!$B$4,0)-0.01</x:f>
        <x:v>28.99</x:v>
      </x:c>
    </x:row>
    <x:row r="84">
      <x:c r="A84" s="29" t="str">
        <x:v>Central America and Caribbean</x:v>
      </x:c>
      <x:c r="B84" s="29" t="str">
        <x:v>Belize</x:v>
      </x:c>
      <x:c r="C84" s="29" t="str">
        <x:v>JP-Z5</x:v>
      </x:c>
      <x:c r="D84" s="29" t="str">
        <x:v>日本郵便 国際エアパケット</x:v>
      </x:c>
      <x:c r="E84" s="30" t="n">
        <x:v>1500</x:v>
      </x:c>
      <x:c r="F84" s="31" t="n">
        <x:f>ROUNDUP(E84/'設定・注意'!$B$4,0)-0.01</x:f>
        <x:v>10.99</x:v>
      </x:c>
      <x:c r="G84" s="30" t="n">
        <x:v>4200</x:v>
      </x:c>
      <x:c r="H84" s="31" t="n">
        <x:f>ROUNDUP(G84/'設定・注意'!$B$4,0)-0.01</x:f>
        <x:v>28.99</x:v>
      </x:c>
    </x:row>
    <x:row r="85">
      <x:c r="A85" s="29" t="str">
        <x:v>Central America and Caribbean</x:v>
      </x:c>
      <x:c r="B85" s="29" t="str">
        <x:v>British Virgin Islands</x:v>
      </x:c>
      <x:c r="C85" s="29" t="str">
        <x:v>JP-Z5</x:v>
      </x:c>
      <x:c r="D85" s="29" t="str">
        <x:v>日本郵便 国際エアパケット</x:v>
      </x:c>
      <x:c r="E85" s="30" t="n">
        <x:v>1500</x:v>
      </x:c>
      <x:c r="F85" s="31" t="n">
        <x:f>ROUNDUP(E85/'設定・注意'!$B$4,0)-0.01</x:f>
        <x:v>10.99</x:v>
      </x:c>
      <x:c r="G85" s="30" t="n">
        <x:v>4200</x:v>
      </x:c>
      <x:c r="H85" s="31" t="n">
        <x:f>ROUNDUP(G85/'設定・注意'!$B$4,0)-0.01</x:f>
        <x:v>28.99</x:v>
      </x:c>
    </x:row>
    <x:row r="86">
      <x:c r="A86" s="29" t="str">
        <x:v>Central America and Caribbean</x:v>
      </x:c>
      <x:c r="B86" s="29" t="str">
        <x:v>Cayman Islands</x:v>
      </x:c>
      <x:c r="C86" s="29" t="str">
        <x:v>JP-Z5</x:v>
      </x:c>
      <x:c r="D86" s="29" t="str">
        <x:v>日本郵便 国際エアパケット</x:v>
      </x:c>
      <x:c r="E86" s="30" t="n">
        <x:v>1500</x:v>
      </x:c>
      <x:c r="F86" s="31" t="n">
        <x:f>ROUNDUP(E86/'設定・注意'!$B$4,0)-0.01</x:f>
        <x:v>10.99</x:v>
      </x:c>
      <x:c r="G86" s="30" t="n">
        <x:v>4200</x:v>
      </x:c>
      <x:c r="H86" s="31" t="n">
        <x:f>ROUNDUP(G86/'設定・注意'!$B$4,0)-0.01</x:f>
        <x:v>28.99</x:v>
      </x:c>
    </x:row>
    <x:row r="87">
      <x:c r="A87" s="29" t="str">
        <x:v>Central America and Caribbean</x:v>
      </x:c>
      <x:c r="B87" s="29" t="str">
        <x:v>Costa Rica</x:v>
      </x:c>
      <x:c r="C87" s="29" t="str">
        <x:v>JP-Z5</x:v>
      </x:c>
      <x:c r="D87" s="29" t="str">
        <x:v>日本郵便 国際エアパケット</x:v>
      </x:c>
      <x:c r="E87" s="30" t="n">
        <x:v>1500</x:v>
      </x:c>
      <x:c r="F87" s="31" t="n">
        <x:f>ROUNDUP(E87/'設定・注意'!$B$4,0)-0.01</x:f>
        <x:v>10.99</x:v>
      </x:c>
      <x:c r="G87" s="30" t="n">
        <x:v>4200</x:v>
      </x:c>
      <x:c r="H87" s="31" t="n">
        <x:f>ROUNDUP(G87/'設定・注意'!$B$4,0)-0.01</x:f>
        <x:v>28.99</x:v>
      </x:c>
    </x:row>
    <x:row r="88">
      <x:c r="A88" s="29" t="str">
        <x:v>Central America and Caribbean</x:v>
      </x:c>
      <x:c r="B88" s="29" t="str">
        <x:v>Dominica</x:v>
      </x:c>
      <x:c r="C88" s="29" t="str">
        <x:v>JP-Z5</x:v>
      </x:c>
      <x:c r="D88" s="29" t="str">
        <x:v>日本郵便 国際エアパケット</x:v>
      </x:c>
      <x:c r="E88" s="30" t="n">
        <x:v>1500</x:v>
      </x:c>
      <x:c r="F88" s="31" t="n">
        <x:f>ROUNDUP(E88/'設定・注意'!$B$4,0)-0.01</x:f>
        <x:v>10.99</x:v>
      </x:c>
      <x:c r="G88" s="30" t="n">
        <x:v>4200</x:v>
      </x:c>
      <x:c r="H88" s="31" t="n">
        <x:f>ROUNDUP(G88/'設定・注意'!$B$4,0)-0.01</x:f>
        <x:v>28.99</x:v>
      </x:c>
    </x:row>
    <x:row r="89">
      <x:c r="A89" s="29" t="str">
        <x:v>Central America and Caribbean</x:v>
      </x:c>
      <x:c r="B89" s="29" t="str">
        <x:v>Dominican Republic</x:v>
      </x:c>
      <x:c r="C89" s="29" t="str">
        <x:v>JP-Z5</x:v>
      </x:c>
      <x:c r="D89" s="29" t="str">
        <x:v>日本郵便 国際エアパケット</x:v>
      </x:c>
      <x:c r="E89" s="30" t="n">
        <x:v>1500</x:v>
      </x:c>
      <x:c r="F89" s="31" t="n">
        <x:f>ROUNDUP(E89/'設定・注意'!$B$4,0)-0.01</x:f>
        <x:v>10.99</x:v>
      </x:c>
      <x:c r="G89" s="30" t="n">
        <x:v>4200</x:v>
      </x:c>
      <x:c r="H89" s="31" t="n">
        <x:f>ROUNDUP(G89/'設定・注意'!$B$4,0)-0.01</x:f>
        <x:v>28.99</x:v>
      </x:c>
    </x:row>
    <x:row r="90">
      <x:c r="A90" s="29" t="str">
        <x:v>Central America and Caribbean</x:v>
      </x:c>
      <x:c r="B90" s="29" t="str">
        <x:v>El Salvador</x:v>
      </x:c>
      <x:c r="C90" s="29" t="str">
        <x:v>JP-Z5</x:v>
      </x:c>
      <x:c r="D90" s="29" t="str">
        <x:v>日本郵便 国際エアパケット</x:v>
      </x:c>
      <x:c r="E90" s="30" t="n">
        <x:v>1500</x:v>
      </x:c>
      <x:c r="F90" s="31" t="n">
        <x:f>ROUNDUP(E90/'設定・注意'!$B$4,0)-0.01</x:f>
        <x:v>10.99</x:v>
      </x:c>
      <x:c r="G90" s="30" t="n">
        <x:v>4200</x:v>
      </x:c>
      <x:c r="H90" s="31" t="n">
        <x:f>ROUNDUP(G90/'設定・注意'!$B$4,0)-0.01</x:f>
        <x:v>28.99</x:v>
      </x:c>
    </x:row>
    <x:row r="91">
      <x:c r="A91" s="29" t="str">
        <x:v>Central America and Caribbean</x:v>
      </x:c>
      <x:c r="B91" s="29" t="str">
        <x:v>Grenada</x:v>
      </x:c>
      <x:c r="C91" s="29" t="str">
        <x:v>JP-Z5</x:v>
      </x:c>
      <x:c r="D91" s="29" t="str">
        <x:v>日本郵便 国際エアパケット</x:v>
      </x:c>
      <x:c r="E91" s="30" t="n">
        <x:v>1500</x:v>
      </x:c>
      <x:c r="F91" s="31" t="n">
        <x:f>ROUNDUP(E91/'設定・注意'!$B$4,0)-0.01</x:f>
        <x:v>10.99</x:v>
      </x:c>
      <x:c r="G91" s="30" t="n">
        <x:v>4200</x:v>
      </x:c>
      <x:c r="H91" s="31" t="n">
        <x:f>ROUNDUP(G91/'設定・注意'!$B$4,0)-0.01</x:f>
        <x:v>28.99</x:v>
      </x:c>
    </x:row>
    <x:row r="92">
      <x:c r="A92" s="29" t="str">
        <x:v>Central America and Caribbean</x:v>
      </x:c>
      <x:c r="B92" s="29" t="str">
        <x:v>Guadeloupe</x:v>
      </x:c>
      <x:c r="C92" s="29" t="str">
        <x:v>JP-Z5</x:v>
      </x:c>
      <x:c r="D92" s="29" t="str">
        <x:v>日本郵便 国際エアパケット</x:v>
      </x:c>
      <x:c r="E92" s="30" t="n">
        <x:v>1500</x:v>
      </x:c>
      <x:c r="F92" s="31" t="n">
        <x:f>ROUNDUP(E92/'設定・注意'!$B$4,0)-0.01</x:f>
        <x:v>10.99</x:v>
      </x:c>
      <x:c r="G92" s="30" t="n">
        <x:v>4200</x:v>
      </x:c>
      <x:c r="H92" s="31" t="n">
        <x:f>ROUNDUP(G92/'設定・注意'!$B$4,0)-0.01</x:f>
        <x:v>28.99</x:v>
      </x:c>
    </x:row>
    <x:row r="93">
      <x:c r="A93" s="29" t="str">
        <x:v>Central America and Caribbean</x:v>
      </x:c>
      <x:c r="B93" s="29" t="str">
        <x:v>Guatemala</x:v>
      </x:c>
      <x:c r="C93" s="29" t="str">
        <x:v>JP-Z5</x:v>
      </x:c>
      <x:c r="D93" s="29" t="str">
        <x:v>日本郵便 国際エアパケット</x:v>
      </x:c>
      <x:c r="E93" s="30" t="n">
        <x:v>1500</x:v>
      </x:c>
      <x:c r="F93" s="31" t="n">
        <x:f>ROUNDUP(E93/'設定・注意'!$B$4,0)-0.01</x:f>
        <x:v>10.99</x:v>
      </x:c>
      <x:c r="G93" s="30" t="n">
        <x:v>4200</x:v>
      </x:c>
      <x:c r="H93" s="31" t="n">
        <x:f>ROUNDUP(G93/'設定・注意'!$B$4,0)-0.01</x:f>
        <x:v>28.99</x:v>
      </x:c>
    </x:row>
    <x:row r="94">
      <x:c r="A94" s="29" t="str">
        <x:v>Central America and Caribbean</x:v>
      </x:c>
      <x:c r="B94" s="29" t="str">
        <x:v>Haiti</x:v>
      </x:c>
      <x:c r="C94" s="29" t="str">
        <x:v>JP-Z5</x:v>
      </x:c>
      <x:c r="D94" s="29" t="str">
        <x:v>日本郵便 国際エアパケット</x:v>
      </x:c>
      <x:c r="E94" s="30" t="n">
        <x:v>1500</x:v>
      </x:c>
      <x:c r="F94" s="31" t="n">
        <x:f>ROUNDUP(E94/'設定・注意'!$B$4,0)-0.01</x:f>
        <x:v>10.99</x:v>
      </x:c>
      <x:c r="G94" s="30" t="n">
        <x:v>4200</x:v>
      </x:c>
      <x:c r="H94" s="31" t="n">
        <x:f>ROUNDUP(G94/'設定・注意'!$B$4,0)-0.01</x:f>
        <x:v>28.99</x:v>
      </x:c>
    </x:row>
    <x:row r="95">
      <x:c r="A95" s="29" t="str">
        <x:v>Central America and Caribbean</x:v>
      </x:c>
      <x:c r="B95" s="29" t="str">
        <x:v>Honduras</x:v>
      </x:c>
      <x:c r="C95" s="29" t="str">
        <x:v>JP-Z5</x:v>
      </x:c>
      <x:c r="D95" s="29" t="str">
        <x:v>日本郵便 国際エアパケット</x:v>
      </x:c>
      <x:c r="E95" s="30" t="n">
        <x:v>1500</x:v>
      </x:c>
      <x:c r="F95" s="31" t="n">
        <x:f>ROUNDUP(E95/'設定・注意'!$B$4,0)-0.01</x:f>
        <x:v>10.99</x:v>
      </x:c>
      <x:c r="G95" s="30" t="n">
        <x:v>4200</x:v>
      </x:c>
      <x:c r="H95" s="31" t="n">
        <x:f>ROUNDUP(G95/'設定・注意'!$B$4,0)-0.01</x:f>
        <x:v>28.99</x:v>
      </x:c>
    </x:row>
    <x:row r="96">
      <x:c r="A96" s="29" t="str">
        <x:v>Central America and Caribbean</x:v>
      </x:c>
      <x:c r="B96" s="29" t="str">
        <x:v>Jamaica</x:v>
      </x:c>
      <x:c r="C96" s="29" t="str">
        <x:v>JP-Z5</x:v>
      </x:c>
      <x:c r="D96" s="29" t="str">
        <x:v>日本郵便 国際エアパケット</x:v>
      </x:c>
      <x:c r="E96" s="30" t="n">
        <x:v>1500</x:v>
      </x:c>
      <x:c r="F96" s="31" t="n">
        <x:f>ROUNDUP(E96/'設定・注意'!$B$4,0)-0.01</x:f>
        <x:v>10.99</x:v>
      </x:c>
      <x:c r="G96" s="30" t="n">
        <x:v>4200</x:v>
      </x:c>
      <x:c r="H96" s="31" t="n">
        <x:f>ROUNDUP(G96/'設定・注意'!$B$4,0)-0.01</x:f>
        <x:v>28.99</x:v>
      </x:c>
    </x:row>
    <x:row r="97">
      <x:c r="A97" s="29" t="str">
        <x:v>Central America and Caribbean</x:v>
      </x:c>
      <x:c r="B97" s="29" t="str">
        <x:v>Martinique</x:v>
      </x:c>
      <x:c r="C97" s="29" t="str">
        <x:v>JP-Z5</x:v>
      </x:c>
      <x:c r="D97" s="29" t="str">
        <x:v>日本郵便 国際エアパケット</x:v>
      </x:c>
      <x:c r="E97" s="30" t="n">
        <x:v>1500</x:v>
      </x:c>
      <x:c r="F97" s="31" t="n">
        <x:f>ROUNDUP(E97/'設定・注意'!$B$4,0)-0.01</x:f>
        <x:v>10.99</x:v>
      </x:c>
      <x:c r="G97" s="30" t="n">
        <x:v>4200</x:v>
      </x:c>
      <x:c r="H97" s="31" t="n">
        <x:f>ROUNDUP(G97/'設定・注意'!$B$4,0)-0.01</x:f>
        <x:v>28.99</x:v>
      </x:c>
    </x:row>
    <x:row r="98">
      <x:c r="A98" s="29" t="str">
        <x:v>Central America and Caribbean</x:v>
      </x:c>
      <x:c r="B98" s="29" t="str">
        <x:v>Montserrat</x:v>
      </x:c>
      <x:c r="C98" s="29" t="str">
        <x:v>JP-Z5</x:v>
      </x:c>
      <x:c r="D98" s="29" t="str">
        <x:v>日本郵便 国際エアパケット</x:v>
      </x:c>
      <x:c r="E98" s="30" t="n">
        <x:v>1500</x:v>
      </x:c>
      <x:c r="F98" s="31" t="n">
        <x:f>ROUNDUP(E98/'設定・注意'!$B$4,0)-0.01</x:f>
        <x:v>10.99</x:v>
      </x:c>
      <x:c r="G98" s="30" t="n">
        <x:v>4200</x:v>
      </x:c>
      <x:c r="H98" s="31" t="n">
        <x:f>ROUNDUP(G98/'設定・注意'!$B$4,0)-0.01</x:f>
        <x:v>28.99</x:v>
      </x:c>
    </x:row>
    <x:row r="99">
      <x:c r="A99" s="29" t="str">
        <x:v>Central America and Caribbean</x:v>
      </x:c>
      <x:c r="B99" s="29" t="str">
        <x:v>Netherlands Antilles</x:v>
      </x:c>
      <x:c r="C99" s="29" t="str">
        <x:v>JP-Z5</x:v>
      </x:c>
      <x:c r="D99" s="29" t="str">
        <x:v>日本郵便 国際エアパケット</x:v>
      </x:c>
      <x:c r="E99" s="30" t="n">
        <x:v>1500</x:v>
      </x:c>
      <x:c r="F99" s="31" t="n">
        <x:f>ROUNDUP(E99/'設定・注意'!$B$4,0)-0.01</x:f>
        <x:v>10.99</x:v>
      </x:c>
      <x:c r="G99" s="30" t="n">
        <x:v>4200</x:v>
      </x:c>
      <x:c r="H99" s="31" t="n">
        <x:f>ROUNDUP(G99/'設定・注意'!$B$4,0)-0.01</x:f>
        <x:v>28.99</x:v>
      </x:c>
    </x:row>
    <x:row r="100">
      <x:c r="A100" s="29" t="str">
        <x:v>Central America and Caribbean</x:v>
      </x:c>
      <x:c r="B100" s="29" t="str">
        <x:v>Nicaragua</x:v>
      </x:c>
      <x:c r="C100" s="29" t="str">
        <x:v>JP-Z5</x:v>
      </x:c>
      <x:c r="D100" s="29" t="str">
        <x:v>日本郵便 国際エアパケット</x:v>
      </x:c>
      <x:c r="E100" s="30" t="n">
        <x:v>1500</x:v>
      </x:c>
      <x:c r="F100" s="31" t="n">
        <x:f>ROUNDUP(E100/'設定・注意'!$B$4,0)-0.01</x:f>
        <x:v>10.99</x:v>
      </x:c>
      <x:c r="G100" s="30" t="n">
        <x:v>4200</x:v>
      </x:c>
      <x:c r="H100" s="31" t="n">
        <x:f>ROUNDUP(G100/'設定・注意'!$B$4,0)-0.01</x:f>
        <x:v>28.99</x:v>
      </x:c>
    </x:row>
    <x:row r="101">
      <x:c r="A101" s="29" t="str">
        <x:v>Central America and Caribbean</x:v>
      </x:c>
      <x:c r="B101" s="29" t="str">
        <x:v>Panama</x:v>
      </x:c>
      <x:c r="C101" s="29" t="str">
        <x:v>JP-Z5</x:v>
      </x:c>
      <x:c r="D101" s="29" t="str">
        <x:v>日本郵便 国際エアパケット</x:v>
      </x:c>
      <x:c r="E101" s="30" t="n">
        <x:v>1500</x:v>
      </x:c>
      <x:c r="F101" s="31" t="n">
        <x:f>ROUNDUP(E101/'設定・注意'!$B$4,0)-0.01</x:f>
        <x:v>10.99</x:v>
      </x:c>
      <x:c r="G101" s="30" t="n">
        <x:v>4200</x:v>
      </x:c>
      <x:c r="H101" s="31" t="n">
        <x:f>ROUNDUP(G101/'設定・注意'!$B$4,0)-0.01</x:f>
        <x:v>28.99</x:v>
      </x:c>
    </x:row>
    <x:row r="102">
      <x:c r="A102" s="29" t="str">
        <x:v>Central America and Caribbean</x:v>
      </x:c>
      <x:c r="B102" s="29" t="str">
        <x:v>Puerto Rico</x:v>
      </x:c>
      <x:c r="C102" s="29" t="str">
        <x:v>JP-Z4</x:v>
      </x:c>
      <x:c r="D102" s="29" t="str">
        <x:v>日本郵便 国際エアパケット</x:v>
      </x:c>
      <x:c r="E102" s="30" t="n">
        <x:v>1800</x:v>
      </x:c>
      <x:c r="F102" s="31" t="n">
        <x:f>ROUNDUP(E102/'設定・注意'!$B$4,0)-0.01</x:f>
        <x:v>12.99</x:v>
      </x:c>
      <x:c r="G102" s="30" t="n">
        <x:v>4000</x:v>
      </x:c>
      <x:c r="H102" s="31" t="n">
        <x:f>ROUNDUP(G102/'設定・注意'!$B$4,0)-0.01</x:f>
        <x:v>27.99</x:v>
      </x:c>
    </x:row>
    <x:row r="103">
      <x:c r="A103" s="29" t="str">
        <x:v>Central America and Caribbean</x:v>
      </x:c>
      <x:c r="B103" s="29" t="str">
        <x:v>Saint Kitts-Nevis</x:v>
      </x:c>
      <x:c r="C103" s="29" t="str">
        <x:v>JP-Z5</x:v>
      </x:c>
      <x:c r="D103" s="29" t="str">
        <x:v>日本郵便 国際エアパケット</x:v>
      </x:c>
      <x:c r="E103" s="30" t="n">
        <x:v>1500</x:v>
      </x:c>
      <x:c r="F103" s="31" t="n">
        <x:f>ROUNDUP(E103/'設定・注意'!$B$4,0)-0.01</x:f>
        <x:v>10.99</x:v>
      </x:c>
      <x:c r="G103" s="30" t="n">
        <x:v>4200</x:v>
      </x:c>
      <x:c r="H103" s="31" t="n">
        <x:f>ROUNDUP(G103/'設定・注意'!$B$4,0)-0.01</x:f>
        <x:v>28.99</x:v>
      </x:c>
    </x:row>
    <x:row r="104">
      <x:c r="A104" s="29" t="str">
        <x:v>Central America and Caribbean</x:v>
      </x:c>
      <x:c r="B104" s="29" t="str">
        <x:v>Saint Lucia</x:v>
      </x:c>
      <x:c r="C104" s="29" t="str">
        <x:v>JP-Z5</x:v>
      </x:c>
      <x:c r="D104" s="29" t="str">
        <x:v>日本郵便 国際エアパケット</x:v>
      </x:c>
      <x:c r="E104" s="30" t="n">
        <x:v>1500</x:v>
      </x:c>
      <x:c r="F104" s="31" t="n">
        <x:f>ROUNDUP(E104/'設定・注意'!$B$4,0)-0.01</x:f>
        <x:v>10.99</x:v>
      </x:c>
      <x:c r="G104" s="30" t="n">
        <x:v>4200</x:v>
      </x:c>
      <x:c r="H104" s="31" t="n">
        <x:f>ROUNDUP(G104/'設定・注意'!$B$4,0)-0.01</x:f>
        <x:v>28.99</x:v>
      </x:c>
    </x:row>
    <x:row r="105">
      <x:c r="A105" s="29" t="str">
        <x:v>Central America and Caribbean</x:v>
      </x:c>
      <x:c r="B105" s="29" t="str">
        <x:v>Saint Vincent and the Grenadines</x:v>
      </x:c>
      <x:c r="C105" s="29" t="str">
        <x:v>JP-Z5</x:v>
      </x:c>
      <x:c r="D105" s="29" t="str">
        <x:v>日本郵便 国際エアパケット</x:v>
      </x:c>
      <x:c r="E105" s="30" t="n">
        <x:v>1500</x:v>
      </x:c>
      <x:c r="F105" s="31" t="n">
        <x:f>ROUNDUP(E105/'設定・注意'!$B$4,0)-0.01</x:f>
        <x:v>10.99</x:v>
      </x:c>
      <x:c r="G105" s="30" t="n">
        <x:v>4200</x:v>
      </x:c>
      <x:c r="H105" s="31" t="n">
        <x:f>ROUNDUP(G105/'設定・注意'!$B$4,0)-0.01</x:f>
        <x:v>28.99</x:v>
      </x:c>
    </x:row>
    <x:row r="106">
      <x:c r="A106" s="29" t="str">
        <x:v>Central America and Caribbean</x:v>
      </x:c>
      <x:c r="B106" s="29" t="str">
        <x:v>Trinidad and Tobago</x:v>
      </x:c>
      <x:c r="C106" s="29" t="str">
        <x:v>JP-Z5</x:v>
      </x:c>
      <x:c r="D106" s="29" t="str">
        <x:v>日本郵便 国際エアパケット</x:v>
      </x:c>
      <x:c r="E106" s="30" t="n">
        <x:v>1500</x:v>
      </x:c>
      <x:c r="F106" s="31" t="n">
        <x:f>ROUNDUP(E106/'設定・注意'!$B$4,0)-0.01</x:f>
        <x:v>10.99</x:v>
      </x:c>
      <x:c r="G106" s="30" t="n">
        <x:v>4200</x:v>
      </x:c>
      <x:c r="H106" s="31" t="n">
        <x:f>ROUNDUP(G106/'設定・注意'!$B$4,0)-0.01</x:f>
        <x:v>28.99</x:v>
      </x:c>
    </x:row>
    <x:row r="107">
      <x:c r="A107" s="29" t="str">
        <x:v>Central America and Caribbean</x:v>
      </x:c>
      <x:c r="B107" s="29" t="str">
        <x:v>Turks and Caicos Islands</x:v>
      </x:c>
      <x:c r="C107" s="29" t="str">
        <x:v>JP-Z5</x:v>
      </x:c>
      <x:c r="D107" s="29" t="str">
        <x:v>日本郵便 国際エアパケット</x:v>
      </x:c>
      <x:c r="E107" s="30" t="n">
        <x:v>1500</x:v>
      </x:c>
      <x:c r="F107" s="31" t="n">
        <x:f>ROUNDUP(E107/'設定・注意'!$B$4,0)-0.01</x:f>
        <x:v>10.99</x:v>
      </x:c>
      <x:c r="G107" s="30" t="n">
        <x:v>4200</x:v>
      </x:c>
      <x:c r="H107" s="31" t="n">
        <x:f>ROUNDUP(G107/'設定・注意'!$B$4,0)-0.01</x:f>
        <x:v>28.99</x:v>
      </x:c>
    </x:row>
    <x:row r="108">
      <x:c r="A108" s="29" t="str">
        <x:v>Central America and Caribbean</x:v>
      </x:c>
      <x:c r="B108" s="29" t="str">
        <x:v>Virgin Islands (U.S.)</x:v>
      </x:c>
      <x:c r="C108" s="29" t="str">
        <x:v>JP-Z4</x:v>
      </x:c>
      <x:c r="D108" s="29" t="str">
        <x:v>日本郵便 国際エアパケット</x:v>
      </x:c>
      <x:c r="E108" s="30" t="n">
        <x:v>1800</x:v>
      </x:c>
      <x:c r="F108" s="31" t="n">
        <x:f>ROUNDUP(E108/'設定・注意'!$B$4,0)-0.01</x:f>
        <x:v>12.99</x:v>
      </x:c>
      <x:c r="G108" s="30" t="n">
        <x:v>4000</x:v>
      </x:c>
      <x:c r="H108" s="31" t="n">
        <x:f>ROUNDUP(G108/'設定・注意'!$B$4,0)-0.01</x:f>
        <x:v>27.99</x:v>
      </x:c>
    </x:row>
    <x:row r="109">
      <x:c r="A109" s="29" t="str">
        <x:v>Europe (including UK)</x:v>
      </x:c>
      <x:c r="B109" s="29" t="str">
        <x:v>Albania</x:v>
      </x:c>
      <x:c r="C109" s="29" t="str">
        <x:v>JP-Z3</x:v>
      </x:c>
      <x:c r="D109" s="29" t="str">
        <x:v>日本郵便 国際エアパケット</x:v>
      </x:c>
      <x:c r="E109" s="30" t="n">
        <x:v>1400</x:v>
      </x:c>
      <x:c r="F109" s="31" t="n">
        <x:f>ROUNDUP(E109/'設定・注意'!$B$4,0)-0.01</x:f>
        <x:v>9.99</x:v>
      </x:c>
      <x:c r="G109" s="30" t="n">
        <x:v>3300</x:v>
      </x:c>
      <x:c r="H109" s="31" t="n">
        <x:f>ROUNDUP(G109/'設定・注意'!$B$4,0)-0.01</x:f>
        <x:v>22.99</x:v>
      </x:c>
    </x:row>
    <x:row r="110">
      <x:c r="A110" s="29" t="str">
        <x:v>Europe (including UK)</x:v>
      </x:c>
      <x:c r="B110" s="29" t="str">
        <x:v>Andorra</x:v>
      </x:c>
      <x:c r="C110" s="29" t="str">
        <x:v>JP-Z3</x:v>
      </x:c>
      <x:c r="D110" s="29" t="str">
        <x:v>日本郵便 国際エアパケット</x:v>
      </x:c>
      <x:c r="E110" s="30" t="n">
        <x:v>1400</x:v>
      </x:c>
      <x:c r="F110" s="31" t="n">
        <x:f>ROUNDUP(E110/'設定・注意'!$B$4,0)-0.01</x:f>
        <x:v>9.99</x:v>
      </x:c>
      <x:c r="G110" s="30" t="n">
        <x:v>3300</x:v>
      </x:c>
      <x:c r="H110" s="31" t="n">
        <x:f>ROUNDUP(G110/'設定・注意'!$B$4,0)-0.01</x:f>
        <x:v>22.99</x:v>
      </x:c>
    </x:row>
    <x:row r="111">
      <x:c r="A111" s="29" t="str">
        <x:v>Europe (including UK)</x:v>
      </x:c>
      <x:c r="B111" s="29" t="str">
        <x:v>Austria</x:v>
      </x:c>
      <x:c r="C111" s="29" t="str">
        <x:v>JP-Z3</x:v>
      </x:c>
      <x:c r="D111" s="29" t="str">
        <x:v>日本郵便 国際エアパケット</x:v>
      </x:c>
      <x:c r="E111" s="30" t="n">
        <x:v>1400</x:v>
      </x:c>
      <x:c r="F111" s="31" t="n">
        <x:f>ROUNDUP(E111/'設定・注意'!$B$4,0)-0.01</x:f>
        <x:v>9.99</x:v>
      </x:c>
      <x:c r="G111" s="30" t="n">
        <x:v>3300</x:v>
      </x:c>
      <x:c r="H111" s="31" t="n">
        <x:f>ROUNDUP(G111/'設定・注意'!$B$4,0)-0.01</x:f>
        <x:v>22.99</x:v>
      </x:c>
    </x:row>
    <x:row r="112">
      <x:c r="A112" s="29" t="str">
        <x:v>Europe (including UK)</x:v>
      </x:c>
      <x:c r="B112" s="29" t="str">
        <x:v>Belarus</x:v>
      </x:c>
      <x:c r="C112" s="29" t="str">
        <x:v>JP-Z3</x:v>
      </x:c>
      <x:c r="D112" s="29" t="str">
        <x:v>日本郵便 国際エアパケット</x:v>
      </x:c>
      <x:c r="E112" s="30" t="n">
        <x:v>1400</x:v>
      </x:c>
      <x:c r="F112" s="31" t="n">
        <x:f>ROUNDUP(E112/'設定・注意'!$B$4,0)-0.01</x:f>
        <x:v>9.99</x:v>
      </x:c>
      <x:c r="G112" s="30" t="n">
        <x:v>3300</x:v>
      </x:c>
      <x:c r="H112" s="31" t="n">
        <x:f>ROUNDUP(G112/'設定・注意'!$B$4,0)-0.01</x:f>
        <x:v>22.99</x:v>
      </x:c>
    </x:row>
    <x:row r="113">
      <x:c r="A113" s="29" t="str">
        <x:v>Europe (including UK)</x:v>
      </x:c>
      <x:c r="B113" s="29" t="str">
        <x:v>Belgium</x:v>
      </x:c>
      <x:c r="C113" s="29" t="str">
        <x:v>JP-Z3</x:v>
      </x:c>
      <x:c r="D113" s="29" t="str">
        <x:v>日本郵便 国際エアパケット</x:v>
      </x:c>
      <x:c r="E113" s="30" t="n">
        <x:v>1400</x:v>
      </x:c>
      <x:c r="F113" s="31" t="n">
        <x:f>ROUNDUP(E113/'設定・注意'!$B$4,0)-0.01</x:f>
        <x:v>9.99</x:v>
      </x:c>
      <x:c r="G113" s="30" t="n">
        <x:v>3300</x:v>
      </x:c>
      <x:c r="H113" s="31" t="n">
        <x:f>ROUNDUP(G113/'設定・注意'!$B$4,0)-0.01</x:f>
        <x:v>22.99</x:v>
      </x:c>
    </x:row>
    <x:row r="114">
      <x:c r="A114" s="29" t="str">
        <x:v>Europe (including UK)</x:v>
      </x:c>
      <x:c r="B114" s="29" t="str">
        <x:v>Bosnia and Herzegovina</x:v>
      </x:c>
      <x:c r="C114" s="29" t="str">
        <x:v>JP-Z3</x:v>
      </x:c>
      <x:c r="D114" s="29" t="str">
        <x:v>日本郵便 国際エアパケット</x:v>
      </x:c>
      <x:c r="E114" s="30" t="n">
        <x:v>1400</x:v>
      </x:c>
      <x:c r="F114" s="31" t="n">
        <x:f>ROUNDUP(E114/'設定・注意'!$B$4,0)-0.01</x:f>
        <x:v>9.99</x:v>
      </x:c>
      <x:c r="G114" s="30" t="n">
        <x:v>3300</x:v>
      </x:c>
      <x:c r="H114" s="31" t="n">
        <x:f>ROUNDUP(G114/'設定・注意'!$B$4,0)-0.01</x:f>
        <x:v>22.99</x:v>
      </x:c>
    </x:row>
    <x:row r="115">
      <x:c r="A115" s="29" t="str">
        <x:v>Europe (including UK)</x:v>
      </x:c>
      <x:c r="B115" s="29" t="str">
        <x:v>Bulgaria</x:v>
      </x:c>
      <x:c r="C115" s="29" t="str">
        <x:v>JP-Z3</x:v>
      </x:c>
      <x:c r="D115" s="29" t="str">
        <x:v>日本郵便 国際エアパケット</x:v>
      </x:c>
      <x:c r="E115" s="30" t="n">
        <x:v>1400</x:v>
      </x:c>
      <x:c r="F115" s="31" t="n">
        <x:f>ROUNDUP(E115/'設定・注意'!$B$4,0)-0.01</x:f>
        <x:v>9.99</x:v>
      </x:c>
      <x:c r="G115" s="30" t="n">
        <x:v>3300</x:v>
      </x:c>
      <x:c r="H115" s="31" t="n">
        <x:f>ROUNDUP(G115/'設定・注意'!$B$4,0)-0.01</x:f>
        <x:v>22.99</x:v>
      </x:c>
    </x:row>
    <x:row r="116">
      <x:c r="A116" s="29" t="str">
        <x:v>Europe (including UK)</x:v>
      </x:c>
      <x:c r="B116" s="29" t="str">
        <x:v>Croatia, Republic of</x:v>
      </x:c>
      <x:c r="C116" s="29" t="str">
        <x:v>JP-Z3</x:v>
      </x:c>
      <x:c r="D116" s="29" t="str">
        <x:v>日本郵便 国際エアパケット</x:v>
      </x:c>
      <x:c r="E116" s="30" t="n">
        <x:v>1400</x:v>
      </x:c>
      <x:c r="F116" s="31" t="n">
        <x:f>ROUNDUP(E116/'設定・注意'!$B$4,0)-0.01</x:f>
        <x:v>9.99</x:v>
      </x:c>
      <x:c r="G116" s="30" t="n">
        <x:v>3300</x:v>
      </x:c>
      <x:c r="H116" s="31" t="n">
        <x:f>ROUNDUP(G116/'設定・注意'!$B$4,0)-0.01</x:f>
        <x:v>22.99</x:v>
      </x:c>
    </x:row>
    <x:row r="117">
      <x:c r="A117" s="29" t="str">
        <x:v>Europe (including UK)</x:v>
      </x:c>
      <x:c r="B117" s="29" t="str">
        <x:v>Cyprus</x:v>
      </x:c>
      <x:c r="C117" s="29" t="str">
        <x:v>JP-Z3</x:v>
      </x:c>
      <x:c r="D117" s="29" t="str">
        <x:v>日本郵便 国際エアパケット</x:v>
      </x:c>
      <x:c r="E117" s="30" t="n">
        <x:v>1400</x:v>
      </x:c>
      <x:c r="F117" s="31" t="n">
        <x:f>ROUNDUP(E117/'設定・注意'!$B$4,0)-0.01</x:f>
        <x:v>9.99</x:v>
      </x:c>
      <x:c r="G117" s="30" t="n">
        <x:v>3300</x:v>
      </x:c>
      <x:c r="H117" s="31" t="n">
        <x:f>ROUNDUP(G117/'設定・注意'!$B$4,0)-0.01</x:f>
        <x:v>22.99</x:v>
      </x:c>
    </x:row>
    <x:row r="118">
      <x:c r="A118" s="29" t="str">
        <x:v>Europe (including UK)</x:v>
      </x:c>
      <x:c r="B118" s="29" t="str">
        <x:v>Czech Republic</x:v>
      </x:c>
      <x:c r="C118" s="29" t="str">
        <x:v>JP-Z3</x:v>
      </x:c>
      <x:c r="D118" s="29" t="str">
        <x:v>日本郵便 国際エアパケット</x:v>
      </x:c>
      <x:c r="E118" s="30" t="n">
        <x:v>1400</x:v>
      </x:c>
      <x:c r="F118" s="31" t="n">
        <x:f>ROUNDUP(E118/'設定・注意'!$B$4,0)-0.01</x:f>
        <x:v>9.99</x:v>
      </x:c>
      <x:c r="G118" s="30" t="n">
        <x:v>3300</x:v>
      </x:c>
      <x:c r="H118" s="31" t="n">
        <x:f>ROUNDUP(G118/'設定・注意'!$B$4,0)-0.01</x:f>
        <x:v>22.99</x:v>
      </x:c>
    </x:row>
    <x:row r="119">
      <x:c r="A119" s="29" t="str">
        <x:v>Europe (including UK)</x:v>
      </x:c>
      <x:c r="B119" s="29" t="str">
        <x:v>Denmark</x:v>
      </x:c>
      <x:c r="C119" s="29" t="str">
        <x:v>JP-Z3</x:v>
      </x:c>
      <x:c r="D119" s="29" t="str">
        <x:v>日本郵便 国際エアパケット</x:v>
      </x:c>
      <x:c r="E119" s="30" t="n">
        <x:v>1400</x:v>
      </x:c>
      <x:c r="F119" s="31" t="n">
        <x:f>ROUNDUP(E119/'設定・注意'!$B$4,0)-0.01</x:f>
        <x:v>9.99</x:v>
      </x:c>
      <x:c r="G119" s="30" t="n">
        <x:v>3300</x:v>
      </x:c>
      <x:c r="H119" s="31" t="n">
        <x:f>ROUNDUP(G119/'設定・注意'!$B$4,0)-0.01</x:f>
        <x:v>22.99</x:v>
      </x:c>
    </x:row>
    <x:row r="120">
      <x:c r="A120" s="29" t="str">
        <x:v>Europe (including UK)</x:v>
      </x:c>
      <x:c r="B120" s="29" t="str">
        <x:v>Estonia</x:v>
      </x:c>
      <x:c r="C120" s="29" t="str">
        <x:v>JP-Z3</x:v>
      </x:c>
      <x:c r="D120" s="29" t="str">
        <x:v>日本郵便 国際エアパケット</x:v>
      </x:c>
      <x:c r="E120" s="30" t="n">
        <x:v>1400</x:v>
      </x:c>
      <x:c r="F120" s="31" t="n">
        <x:f>ROUNDUP(E120/'設定・注意'!$B$4,0)-0.01</x:f>
        <x:v>9.99</x:v>
      </x:c>
      <x:c r="G120" s="30" t="n">
        <x:v>3300</x:v>
      </x:c>
      <x:c r="H120" s="31" t="n">
        <x:f>ROUNDUP(G120/'設定・注意'!$B$4,0)-0.01</x:f>
        <x:v>22.99</x:v>
      </x:c>
    </x:row>
    <x:row r="121">
      <x:c r="A121" s="29" t="str">
        <x:v>Europe (including UK)</x:v>
      </x:c>
      <x:c r="B121" s="29" t="str">
        <x:v>Finland</x:v>
      </x:c>
      <x:c r="C121" s="29" t="str">
        <x:v>JP-Z3</x:v>
      </x:c>
      <x:c r="D121" s="29" t="str">
        <x:v>日本郵便 国際エアパケット</x:v>
      </x:c>
      <x:c r="E121" s="30" t="n">
        <x:v>1400</x:v>
      </x:c>
      <x:c r="F121" s="31" t="n">
        <x:f>ROUNDUP(E121/'設定・注意'!$B$4,0)-0.01</x:f>
        <x:v>9.99</x:v>
      </x:c>
      <x:c r="G121" s="30" t="n">
        <x:v>3300</x:v>
      </x:c>
      <x:c r="H121" s="31" t="n">
        <x:f>ROUNDUP(G121/'設定・注意'!$B$4,0)-0.01</x:f>
        <x:v>22.99</x:v>
      </x:c>
    </x:row>
    <x:row r="122">
      <x:c r="A122" s="29" t="str">
        <x:v>Europe (including UK)</x:v>
      </x:c>
      <x:c r="B122" s="29" t="str">
        <x:v>France</x:v>
      </x:c>
      <x:c r="C122" s="29" t="str">
        <x:v>JP-Z3</x:v>
      </x:c>
      <x:c r="D122" s="29" t="str">
        <x:v>日本郵便 国際エアパケット</x:v>
      </x:c>
      <x:c r="E122" s="30" t="n">
        <x:v>1400</x:v>
      </x:c>
      <x:c r="F122" s="31" t="n">
        <x:f>ROUNDUP(E122/'設定・注意'!$B$4,0)-0.01</x:f>
        <x:v>9.99</x:v>
      </x:c>
      <x:c r="G122" s="30" t="n">
        <x:v>3300</x:v>
      </x:c>
      <x:c r="H122" s="31" t="n">
        <x:f>ROUNDUP(G122/'設定・注意'!$B$4,0)-0.01</x:f>
        <x:v>22.99</x:v>
      </x:c>
    </x:row>
    <x:row r="123">
      <x:c r="A123" s="29" t="str">
        <x:v>Europe (including UK)</x:v>
      </x:c>
      <x:c r="B123" s="29" t="str">
        <x:v>Germany</x:v>
      </x:c>
      <x:c r="C123" s="29" t="str">
        <x:v>SPK-DE</x:v>
      </x:c>
      <x:c r="D123" s="29" t="str">
        <x:v>SpeedPAK Economy</x:v>
      </x:c>
      <x:c r="E123" s="30" t="n">
        <x:v>2500</x:v>
      </x:c>
      <x:c r="F123" s="31" t="n">
        <x:f>ROUNDUP(E123/'設定・注意'!$B$4,0)-0.01</x:f>
        <x:v>17.99</x:v>
      </x:c>
      <x:c r="G123" s="30" t="n">
        <x:v>5400</x:v>
      </x:c>
      <x:c r="H123" s="31" t="n">
        <x:f>ROUNDUP(G123/'設定・注意'!$B$4,0)-0.01</x:f>
        <x:v>37.99</x:v>
      </x:c>
    </x:row>
    <x:row r="124">
      <x:c r="A124" s="29" t="str">
        <x:v>Europe (including UK)</x:v>
      </x:c>
      <x:c r="B124" s="29" t="str">
        <x:v>Gibraltar</x:v>
      </x:c>
      <x:c r="C124" s="29" t="str">
        <x:v>JP-Z3</x:v>
      </x:c>
      <x:c r="D124" s="29" t="str">
        <x:v>日本郵便 国際エアパケット</x:v>
      </x:c>
      <x:c r="E124" s="30" t="n">
        <x:v>1400</x:v>
      </x:c>
      <x:c r="F124" s="31" t="n">
        <x:f>ROUNDUP(E124/'設定・注意'!$B$4,0)-0.01</x:f>
        <x:v>9.99</x:v>
      </x:c>
      <x:c r="G124" s="30" t="n">
        <x:v>3300</x:v>
      </x:c>
      <x:c r="H124" s="31" t="n">
        <x:f>ROUNDUP(G124/'設定・注意'!$B$4,0)-0.01</x:f>
        <x:v>22.99</x:v>
      </x:c>
    </x:row>
    <x:row r="125">
      <x:c r="A125" s="29" t="str">
        <x:v>Europe (including UK)</x:v>
      </x:c>
      <x:c r="B125" s="29" t="str">
        <x:v>Greece</x:v>
      </x:c>
      <x:c r="C125" s="29" t="str">
        <x:v>JP-Z3</x:v>
      </x:c>
      <x:c r="D125" s="29" t="str">
        <x:v>日本郵便 国際エアパケット</x:v>
      </x:c>
      <x:c r="E125" s="30" t="n">
        <x:v>1400</x:v>
      </x:c>
      <x:c r="F125" s="31" t="n">
        <x:f>ROUNDUP(E125/'設定・注意'!$B$4,0)-0.01</x:f>
        <x:v>9.99</x:v>
      </x:c>
      <x:c r="G125" s="30" t="n">
        <x:v>3300</x:v>
      </x:c>
      <x:c r="H125" s="31" t="n">
        <x:f>ROUNDUP(G125/'設定・注意'!$B$4,0)-0.01</x:f>
        <x:v>22.99</x:v>
      </x:c>
    </x:row>
    <x:row r="126">
      <x:c r="A126" s="29" t="str">
        <x:v>Europe (including UK)</x:v>
      </x:c>
      <x:c r="B126" s="29" t="str">
        <x:v>Guernsey</x:v>
      </x:c>
      <x:c r="C126" s="29" t="str">
        <x:v>JP-Z3</x:v>
      </x:c>
      <x:c r="D126" s="29" t="str">
        <x:v>日本郵便 国際エアパケット</x:v>
      </x:c>
      <x:c r="E126" s="30" t="n">
        <x:v>1400</x:v>
      </x:c>
      <x:c r="F126" s="31" t="n">
        <x:f>ROUNDUP(E126/'設定・注意'!$B$4,0)-0.01</x:f>
        <x:v>9.99</x:v>
      </x:c>
      <x:c r="G126" s="30" t="n">
        <x:v>3300</x:v>
      </x:c>
      <x:c r="H126" s="31" t="n">
        <x:f>ROUNDUP(G126/'設定・注意'!$B$4,0)-0.01</x:f>
        <x:v>22.99</x:v>
      </x:c>
    </x:row>
    <x:row r="127">
      <x:c r="A127" s="29" t="str">
        <x:v>Europe (including UK)</x:v>
      </x:c>
      <x:c r="B127" s="29" t="str">
        <x:v>Hungary</x:v>
      </x:c>
      <x:c r="C127" s="29" t="str">
        <x:v>JP-Z3</x:v>
      </x:c>
      <x:c r="D127" s="29" t="str">
        <x:v>日本郵便 国際エアパケット</x:v>
      </x:c>
      <x:c r="E127" s="30" t="n">
        <x:v>1400</x:v>
      </x:c>
      <x:c r="F127" s="31" t="n">
        <x:f>ROUNDUP(E127/'設定・注意'!$B$4,0)-0.01</x:f>
        <x:v>9.99</x:v>
      </x:c>
      <x:c r="G127" s="30" t="n">
        <x:v>3300</x:v>
      </x:c>
      <x:c r="H127" s="31" t="n">
        <x:f>ROUNDUP(G127/'設定・注意'!$B$4,0)-0.01</x:f>
        <x:v>22.99</x:v>
      </x:c>
    </x:row>
    <x:row r="128">
      <x:c r="A128" s="29" t="str">
        <x:v>Europe (including UK)</x:v>
      </x:c>
      <x:c r="B128" s="29" t="str">
        <x:v>Iceland</x:v>
      </x:c>
      <x:c r="C128" s="29" t="str">
        <x:v>JP-Z3</x:v>
      </x:c>
      <x:c r="D128" s="29" t="str">
        <x:v>日本郵便 国際エアパケット</x:v>
      </x:c>
      <x:c r="E128" s="30" t="n">
        <x:v>1400</x:v>
      </x:c>
      <x:c r="F128" s="31" t="n">
        <x:f>ROUNDUP(E128/'設定・注意'!$B$4,0)-0.01</x:f>
        <x:v>9.99</x:v>
      </x:c>
      <x:c r="G128" s="30" t="n">
        <x:v>3300</x:v>
      </x:c>
      <x:c r="H128" s="31" t="n">
        <x:f>ROUNDUP(G128/'設定・注意'!$B$4,0)-0.01</x:f>
        <x:v>22.99</x:v>
      </x:c>
    </x:row>
    <x:row r="129">
      <x:c r="A129" s="29" t="str">
        <x:v>Europe (including UK)</x:v>
      </x:c>
      <x:c r="B129" s="29" t="str">
        <x:v>Ireland</x:v>
      </x:c>
      <x:c r="C129" s="29" t="str">
        <x:v>JP-Z3</x:v>
      </x:c>
      <x:c r="D129" s="29" t="str">
        <x:v>日本郵便 国際エアパケット</x:v>
      </x:c>
      <x:c r="E129" s="30" t="n">
        <x:v>1400</x:v>
      </x:c>
      <x:c r="F129" s="31" t="n">
        <x:f>ROUNDUP(E129/'設定・注意'!$B$4,0)-0.01</x:f>
        <x:v>9.99</x:v>
      </x:c>
      <x:c r="G129" s="30" t="n">
        <x:v>3300</x:v>
      </x:c>
      <x:c r="H129" s="31" t="n">
        <x:f>ROUNDUP(G129/'設定・注意'!$B$4,0)-0.01</x:f>
        <x:v>22.99</x:v>
      </x:c>
    </x:row>
    <x:row r="130">
      <x:c r="A130" s="29" t="str">
        <x:v>Europe (including UK)</x:v>
      </x:c>
      <x:c r="B130" s="29" t="str">
        <x:v>Italy</x:v>
      </x:c>
      <x:c r="C130" s="29" t="str">
        <x:v>JP-Z3</x:v>
      </x:c>
      <x:c r="D130" s="29" t="str">
        <x:v>日本郵便 国際エアパケット</x:v>
      </x:c>
      <x:c r="E130" s="30" t="n">
        <x:v>1400</x:v>
      </x:c>
      <x:c r="F130" s="31" t="n">
        <x:f>ROUNDUP(E130/'設定・注意'!$B$4,0)-0.01</x:f>
        <x:v>9.99</x:v>
      </x:c>
      <x:c r="G130" s="30" t="n">
        <x:v>3300</x:v>
      </x:c>
      <x:c r="H130" s="31" t="n">
        <x:f>ROUNDUP(G130/'設定・注意'!$B$4,0)-0.01</x:f>
        <x:v>22.99</x:v>
      </x:c>
    </x:row>
    <x:row r="131">
      <x:c r="A131" s="29" t="str">
        <x:v>Europe (including UK)</x:v>
      </x:c>
      <x:c r="B131" s="29" t="str">
        <x:v>Jersey</x:v>
      </x:c>
      <x:c r="C131" s="29" t="str">
        <x:v>JP-Z3</x:v>
      </x:c>
      <x:c r="D131" s="29" t="str">
        <x:v>日本郵便 国際エアパケット</x:v>
      </x:c>
      <x:c r="E131" s="30" t="n">
        <x:v>1400</x:v>
      </x:c>
      <x:c r="F131" s="31" t="n">
        <x:f>ROUNDUP(E131/'設定・注意'!$B$4,0)-0.01</x:f>
        <x:v>9.99</x:v>
      </x:c>
      <x:c r="G131" s="30" t="n">
        <x:v>3300</x:v>
      </x:c>
      <x:c r="H131" s="31" t="n">
        <x:f>ROUNDUP(G131/'設定・注意'!$B$4,0)-0.01</x:f>
        <x:v>22.99</x:v>
      </x:c>
    </x:row>
    <x:row r="132">
      <x:c r="A132" s="29" t="str">
        <x:v>Europe (including UK)</x:v>
      </x:c>
      <x:c r="B132" s="29" t="str">
        <x:v>Latvia</x:v>
      </x:c>
      <x:c r="C132" s="29" t="str">
        <x:v>JP-Z3</x:v>
      </x:c>
      <x:c r="D132" s="29" t="str">
        <x:v>日本郵便 国際エアパケット</x:v>
      </x:c>
      <x:c r="E132" s="30" t="n">
        <x:v>1400</x:v>
      </x:c>
      <x:c r="F132" s="31" t="n">
        <x:f>ROUNDUP(E132/'設定・注意'!$B$4,0)-0.01</x:f>
        <x:v>9.99</x:v>
      </x:c>
      <x:c r="G132" s="30" t="n">
        <x:v>3300</x:v>
      </x:c>
      <x:c r="H132" s="31" t="n">
        <x:f>ROUNDUP(G132/'設定・注意'!$B$4,0)-0.01</x:f>
        <x:v>22.99</x:v>
      </x:c>
    </x:row>
    <x:row r="133">
      <x:c r="A133" s="29" t="str">
        <x:v>Europe (including UK)</x:v>
      </x:c>
      <x:c r="B133" s="29" t="str">
        <x:v>Liechtenstein</x:v>
      </x:c>
      <x:c r="C133" s="29" t="str">
        <x:v>JP-Z3</x:v>
      </x:c>
      <x:c r="D133" s="29" t="str">
        <x:v>日本郵便 国際エアパケット</x:v>
      </x:c>
      <x:c r="E133" s="30" t="n">
        <x:v>1400</x:v>
      </x:c>
      <x:c r="F133" s="31" t="n">
        <x:f>ROUNDUP(E133/'設定・注意'!$B$4,0)-0.01</x:f>
        <x:v>9.99</x:v>
      </x:c>
      <x:c r="G133" s="30" t="n">
        <x:v>3300</x:v>
      </x:c>
      <x:c r="H133" s="31" t="n">
        <x:f>ROUNDUP(G133/'設定・注意'!$B$4,0)-0.01</x:f>
        <x:v>22.99</x:v>
      </x:c>
    </x:row>
    <x:row r="134">
      <x:c r="A134" s="29" t="str">
        <x:v>Europe (including UK)</x:v>
      </x:c>
      <x:c r="B134" s="29" t="str">
        <x:v>Lithuania</x:v>
      </x:c>
      <x:c r="C134" s="29" t="str">
        <x:v>JP-Z3</x:v>
      </x:c>
      <x:c r="D134" s="29" t="str">
        <x:v>日本郵便 国際エアパケット</x:v>
      </x:c>
      <x:c r="E134" s="30" t="n">
        <x:v>1400</x:v>
      </x:c>
      <x:c r="F134" s="31" t="n">
        <x:f>ROUNDUP(E134/'設定・注意'!$B$4,0)-0.01</x:f>
        <x:v>9.99</x:v>
      </x:c>
      <x:c r="G134" s="30" t="n">
        <x:v>3300</x:v>
      </x:c>
      <x:c r="H134" s="31" t="n">
        <x:f>ROUNDUP(G134/'設定・注意'!$B$4,0)-0.01</x:f>
        <x:v>22.99</x:v>
      </x:c>
    </x:row>
    <x:row r="135">
      <x:c r="A135" s="29" t="str">
        <x:v>Europe (including UK)</x:v>
      </x:c>
      <x:c r="B135" s="29" t="str">
        <x:v>Luxembourg</x:v>
      </x:c>
      <x:c r="C135" s="29" t="str">
        <x:v>JP-Z3</x:v>
      </x:c>
      <x:c r="D135" s="29" t="str">
        <x:v>日本郵便 国際エアパケット</x:v>
      </x:c>
      <x:c r="E135" s="30" t="n">
        <x:v>1400</x:v>
      </x:c>
      <x:c r="F135" s="31" t="n">
        <x:f>ROUNDUP(E135/'設定・注意'!$B$4,0)-0.01</x:f>
        <x:v>9.99</x:v>
      </x:c>
      <x:c r="G135" s="30" t="n">
        <x:v>3300</x:v>
      </x:c>
      <x:c r="H135" s="31" t="n">
        <x:f>ROUNDUP(G135/'設定・注意'!$B$4,0)-0.01</x:f>
        <x:v>22.99</x:v>
      </x:c>
    </x:row>
    <x:row r="136">
      <x:c r="A136" s="29" t="str">
        <x:v>Europe (including UK)</x:v>
      </x:c>
      <x:c r="B136" s="29" t="str">
        <x:v>Macedonia</x:v>
      </x:c>
      <x:c r="C136" s="29" t="str">
        <x:v>JP-Z3</x:v>
      </x:c>
      <x:c r="D136" s="29" t="str">
        <x:v>日本郵便 国際エアパケット</x:v>
      </x:c>
      <x:c r="E136" s="30" t="n">
        <x:v>1400</x:v>
      </x:c>
      <x:c r="F136" s="31" t="n">
        <x:f>ROUNDUP(E136/'設定・注意'!$B$4,0)-0.01</x:f>
        <x:v>9.99</x:v>
      </x:c>
      <x:c r="G136" s="30" t="n">
        <x:v>3300</x:v>
      </x:c>
      <x:c r="H136" s="31" t="n">
        <x:f>ROUNDUP(G136/'設定・注意'!$B$4,0)-0.01</x:f>
        <x:v>22.99</x:v>
      </x:c>
    </x:row>
    <x:row r="137">
      <x:c r="A137" s="29" t="str">
        <x:v>Europe (including UK)</x:v>
      </x:c>
      <x:c r="B137" s="29" t="str">
        <x:v>Malta</x:v>
      </x:c>
      <x:c r="C137" s="29" t="str">
        <x:v>JP-Z3</x:v>
      </x:c>
      <x:c r="D137" s="29" t="str">
        <x:v>日本郵便 国際エアパケット</x:v>
      </x:c>
      <x:c r="E137" s="30" t="n">
        <x:v>1400</x:v>
      </x:c>
      <x:c r="F137" s="31" t="n">
        <x:f>ROUNDUP(E137/'設定・注意'!$B$4,0)-0.01</x:f>
        <x:v>9.99</x:v>
      </x:c>
      <x:c r="G137" s="30" t="n">
        <x:v>3300</x:v>
      </x:c>
      <x:c r="H137" s="31" t="n">
        <x:f>ROUNDUP(G137/'設定・注意'!$B$4,0)-0.01</x:f>
        <x:v>22.99</x:v>
      </x:c>
    </x:row>
    <x:row r="138">
      <x:c r="A138" s="29" t="str">
        <x:v>Europe (including UK)</x:v>
      </x:c>
      <x:c r="B138" s="29" t="str">
        <x:v>Moldova</x:v>
      </x:c>
      <x:c r="C138" s="29" t="str">
        <x:v>JP-Z3</x:v>
      </x:c>
      <x:c r="D138" s="29" t="str">
        <x:v>日本郵便 国際エアパケット</x:v>
      </x:c>
      <x:c r="E138" s="30" t="n">
        <x:v>1400</x:v>
      </x:c>
      <x:c r="F138" s="31" t="n">
        <x:f>ROUNDUP(E138/'設定・注意'!$B$4,0)-0.01</x:f>
        <x:v>9.99</x:v>
      </x:c>
      <x:c r="G138" s="30" t="n">
        <x:v>3300</x:v>
      </x:c>
      <x:c r="H138" s="31" t="n">
        <x:f>ROUNDUP(G138/'設定・注意'!$B$4,0)-0.01</x:f>
        <x:v>22.99</x:v>
      </x:c>
    </x:row>
    <x:row r="139">
      <x:c r="A139" s="29" t="str">
        <x:v>Europe (including UK)</x:v>
      </x:c>
      <x:c r="B139" s="29" t="str">
        <x:v>Monaco</x:v>
      </x:c>
      <x:c r="C139" s="29" t="str">
        <x:v>JP-Z3</x:v>
      </x:c>
      <x:c r="D139" s="29" t="str">
        <x:v>日本郵便 国際エアパケット</x:v>
      </x:c>
      <x:c r="E139" s="30" t="n">
        <x:v>1400</x:v>
      </x:c>
      <x:c r="F139" s="31" t="n">
        <x:f>ROUNDUP(E139/'設定・注意'!$B$4,0)-0.01</x:f>
        <x:v>9.99</x:v>
      </x:c>
      <x:c r="G139" s="30" t="n">
        <x:v>3300</x:v>
      </x:c>
      <x:c r="H139" s="31" t="n">
        <x:f>ROUNDUP(G139/'設定・注意'!$B$4,0)-0.01</x:f>
        <x:v>22.99</x:v>
      </x:c>
    </x:row>
    <x:row r="140">
      <x:c r="A140" s="29" t="str">
        <x:v>Europe (including UK)</x:v>
      </x:c>
      <x:c r="B140" s="29" t="str">
        <x:v>Montenegro</x:v>
      </x:c>
      <x:c r="C140" s="29" t="str">
        <x:v>JP-Z3</x:v>
      </x:c>
      <x:c r="D140" s="29" t="str">
        <x:v>日本郵便 国際エアパケット</x:v>
      </x:c>
      <x:c r="E140" s="30" t="n">
        <x:v>1400</x:v>
      </x:c>
      <x:c r="F140" s="31" t="n">
        <x:f>ROUNDUP(E140/'設定・注意'!$B$4,0)-0.01</x:f>
        <x:v>9.99</x:v>
      </x:c>
      <x:c r="G140" s="30" t="n">
        <x:v>3300</x:v>
      </x:c>
      <x:c r="H140" s="31" t="n">
        <x:f>ROUNDUP(G140/'設定・注意'!$B$4,0)-0.01</x:f>
        <x:v>22.99</x:v>
      </x:c>
    </x:row>
    <x:row r="141">
      <x:c r="A141" s="29" t="str">
        <x:v>Europe (including UK)</x:v>
      </x:c>
      <x:c r="B141" s="29" t="str">
        <x:v>Netherlands</x:v>
      </x:c>
      <x:c r="C141" s="29" t="str">
        <x:v>JP-Z3</x:v>
      </x:c>
      <x:c r="D141" s="29" t="str">
        <x:v>日本郵便 国際エアパケット</x:v>
      </x:c>
      <x:c r="E141" s="30" t="n">
        <x:v>1400</x:v>
      </x:c>
      <x:c r="F141" s="31" t="n">
        <x:f>ROUNDUP(E141/'設定・注意'!$B$4,0)-0.01</x:f>
        <x:v>9.99</x:v>
      </x:c>
      <x:c r="G141" s="30" t="n">
        <x:v>3300</x:v>
      </x:c>
      <x:c r="H141" s="31" t="n">
        <x:f>ROUNDUP(G141/'設定・注意'!$B$4,0)-0.01</x:f>
        <x:v>22.99</x:v>
      </x:c>
    </x:row>
    <x:row r="142">
      <x:c r="A142" s="29" t="str">
        <x:v>Europe (including UK)</x:v>
      </x:c>
      <x:c r="B142" s="29" t="str">
        <x:v>Norway</x:v>
      </x:c>
      <x:c r="C142" s="29" t="str">
        <x:v>JP-Z3</x:v>
      </x:c>
      <x:c r="D142" s="29" t="str">
        <x:v>日本郵便 国際エアパケット</x:v>
      </x:c>
      <x:c r="E142" s="30" t="n">
        <x:v>1400</x:v>
      </x:c>
      <x:c r="F142" s="31" t="n">
        <x:f>ROUNDUP(E142/'設定・注意'!$B$4,0)-0.01</x:f>
        <x:v>9.99</x:v>
      </x:c>
      <x:c r="G142" s="30" t="n">
        <x:v>3300</x:v>
      </x:c>
      <x:c r="H142" s="31" t="n">
        <x:f>ROUNDUP(G142/'設定・注意'!$B$4,0)-0.01</x:f>
        <x:v>22.99</x:v>
      </x:c>
    </x:row>
    <x:row r="143">
      <x:c r="A143" s="29" t="str">
        <x:v>Europe (including UK)</x:v>
      </x:c>
      <x:c r="B143" s="29" t="str">
        <x:v>Poland</x:v>
      </x:c>
      <x:c r="C143" s="29" t="str">
        <x:v>JP-Z3</x:v>
      </x:c>
      <x:c r="D143" s="29" t="str">
        <x:v>日本郵便 国際エアパケット</x:v>
      </x:c>
      <x:c r="E143" s="30" t="n">
        <x:v>1400</x:v>
      </x:c>
      <x:c r="F143" s="31" t="n">
        <x:f>ROUNDUP(E143/'設定・注意'!$B$4,0)-0.01</x:f>
        <x:v>9.99</x:v>
      </x:c>
      <x:c r="G143" s="30" t="n">
        <x:v>3300</x:v>
      </x:c>
      <x:c r="H143" s="31" t="n">
        <x:f>ROUNDUP(G143/'設定・注意'!$B$4,0)-0.01</x:f>
        <x:v>22.99</x:v>
      </x:c>
    </x:row>
    <x:row r="144">
      <x:c r="A144" s="29" t="str">
        <x:v>Europe (including UK)</x:v>
      </x:c>
      <x:c r="B144" s="29" t="str">
        <x:v>Portugal</x:v>
      </x:c>
      <x:c r="C144" s="29" t="str">
        <x:v>JP-Z3</x:v>
      </x:c>
      <x:c r="D144" s="29" t="str">
        <x:v>日本郵便 国際エアパケット</x:v>
      </x:c>
      <x:c r="E144" s="30" t="n">
        <x:v>1400</x:v>
      </x:c>
      <x:c r="F144" s="31" t="n">
        <x:f>ROUNDUP(E144/'設定・注意'!$B$4,0)-0.01</x:f>
        <x:v>9.99</x:v>
      </x:c>
      <x:c r="G144" s="30" t="n">
        <x:v>3300</x:v>
      </x:c>
      <x:c r="H144" s="31" t="n">
        <x:f>ROUNDUP(G144/'設定・注意'!$B$4,0)-0.01</x:f>
        <x:v>22.99</x:v>
      </x:c>
    </x:row>
    <x:row r="145">
      <x:c r="A145" s="29" t="str">
        <x:v>Europe (including UK)</x:v>
      </x:c>
      <x:c r="B145" s="29" t="str">
        <x:v>Romania</x:v>
      </x:c>
      <x:c r="C145" s="29" t="str">
        <x:v>JP-Z3</x:v>
      </x:c>
      <x:c r="D145" s="29" t="str">
        <x:v>日本郵便 国際エアパケット</x:v>
      </x:c>
      <x:c r="E145" s="30" t="n">
        <x:v>1400</x:v>
      </x:c>
      <x:c r="F145" s="31" t="n">
        <x:f>ROUNDUP(E145/'設定・注意'!$B$4,0)-0.01</x:f>
        <x:v>9.99</x:v>
      </x:c>
      <x:c r="G145" s="30" t="n">
        <x:v>3300</x:v>
      </x:c>
      <x:c r="H145" s="31" t="n">
        <x:f>ROUNDUP(G145/'設定・注意'!$B$4,0)-0.01</x:f>
        <x:v>22.99</x:v>
      </x:c>
    </x:row>
    <x:row r="146">
      <x:c r="A146" s="29" t="str">
        <x:v>Europe (including UK)</x:v>
      </x:c>
      <x:c r="B146" s="29" t="str">
        <x:v>Russian Federation</x:v>
      </x:c>
      <x:c r="C146" s="29" t="str">
        <x:v>JP-Z3</x:v>
      </x:c>
      <x:c r="D146" s="29" t="str">
        <x:v>日本郵便 国際エアパケット</x:v>
      </x:c>
      <x:c r="E146" s="30" t="n">
        <x:v>1400</x:v>
      </x:c>
      <x:c r="F146" s="31" t="n">
        <x:f>ROUNDUP(E146/'設定・注意'!$B$4,0)-0.01</x:f>
        <x:v>9.99</x:v>
      </x:c>
      <x:c r="G146" s="30" t="n">
        <x:v>3300</x:v>
      </x:c>
      <x:c r="H146" s="31" t="n">
        <x:f>ROUNDUP(G146/'設定・注意'!$B$4,0)-0.01</x:f>
        <x:v>22.99</x:v>
      </x:c>
    </x:row>
    <x:row r="147">
      <x:c r="A147" s="29" t="str">
        <x:v>Europe (including UK)</x:v>
      </x:c>
      <x:c r="B147" s="29" t="str">
        <x:v>San Marino</x:v>
      </x:c>
      <x:c r="C147" s="29" t="str">
        <x:v>JP-Z3</x:v>
      </x:c>
      <x:c r="D147" s="29" t="str">
        <x:v>日本郵便 国際エアパケット</x:v>
      </x:c>
      <x:c r="E147" s="30" t="n">
        <x:v>1400</x:v>
      </x:c>
      <x:c r="F147" s="31" t="n">
        <x:f>ROUNDUP(E147/'設定・注意'!$B$4,0)-0.01</x:f>
        <x:v>9.99</x:v>
      </x:c>
      <x:c r="G147" s="30" t="n">
        <x:v>3300</x:v>
      </x:c>
      <x:c r="H147" s="31" t="n">
        <x:f>ROUNDUP(G147/'設定・注意'!$B$4,0)-0.01</x:f>
        <x:v>22.99</x:v>
      </x:c>
    </x:row>
    <x:row r="148">
      <x:c r="A148" s="29" t="str">
        <x:v>Europe (including UK)</x:v>
      </x:c>
      <x:c r="B148" s="29" t="str">
        <x:v>Serbia</x:v>
      </x:c>
      <x:c r="C148" s="29" t="str">
        <x:v>JP-Z3</x:v>
      </x:c>
      <x:c r="D148" s="29" t="str">
        <x:v>日本郵便 国際エアパケット</x:v>
      </x:c>
      <x:c r="E148" s="30" t="n">
        <x:v>1400</x:v>
      </x:c>
      <x:c r="F148" s="31" t="n">
        <x:f>ROUNDUP(E148/'設定・注意'!$B$4,0)-0.01</x:f>
        <x:v>9.99</x:v>
      </x:c>
      <x:c r="G148" s="30" t="n">
        <x:v>3300</x:v>
      </x:c>
      <x:c r="H148" s="31" t="n">
        <x:f>ROUNDUP(G148/'設定・注意'!$B$4,0)-0.01</x:f>
        <x:v>22.99</x:v>
      </x:c>
    </x:row>
    <x:row r="149">
      <x:c r="A149" s="29" t="str">
        <x:v>Europe (including UK)</x:v>
      </x:c>
      <x:c r="B149" s="29" t="str">
        <x:v>Slovakia</x:v>
      </x:c>
      <x:c r="C149" s="29" t="str">
        <x:v>JP-Z3</x:v>
      </x:c>
      <x:c r="D149" s="29" t="str">
        <x:v>日本郵便 国際エアパケット</x:v>
      </x:c>
      <x:c r="E149" s="30" t="n">
        <x:v>1400</x:v>
      </x:c>
      <x:c r="F149" s="31" t="n">
        <x:f>ROUNDUP(E149/'設定・注意'!$B$4,0)-0.01</x:f>
        <x:v>9.99</x:v>
      </x:c>
      <x:c r="G149" s="30" t="n">
        <x:v>3300</x:v>
      </x:c>
      <x:c r="H149" s="31" t="n">
        <x:f>ROUNDUP(G149/'設定・注意'!$B$4,0)-0.01</x:f>
        <x:v>22.99</x:v>
      </x:c>
    </x:row>
    <x:row r="150">
      <x:c r="A150" s="29" t="str">
        <x:v>Europe (including UK)</x:v>
      </x:c>
      <x:c r="B150" s="29" t="str">
        <x:v>Slovenia</x:v>
      </x:c>
      <x:c r="C150" s="29" t="str">
        <x:v>JP-Z3</x:v>
      </x:c>
      <x:c r="D150" s="29" t="str">
        <x:v>日本郵便 国際エアパケット</x:v>
      </x:c>
      <x:c r="E150" s="30" t="n">
        <x:v>1400</x:v>
      </x:c>
      <x:c r="F150" s="31" t="n">
        <x:f>ROUNDUP(E150/'設定・注意'!$B$4,0)-0.01</x:f>
        <x:v>9.99</x:v>
      </x:c>
      <x:c r="G150" s="30" t="n">
        <x:v>3300</x:v>
      </x:c>
      <x:c r="H150" s="31" t="n">
        <x:f>ROUNDUP(G150/'設定・注意'!$B$4,0)-0.01</x:f>
        <x:v>22.99</x:v>
      </x:c>
    </x:row>
    <x:row r="151">
      <x:c r="A151" s="29" t="str">
        <x:v>Europe (including UK)</x:v>
      </x:c>
      <x:c r="B151" s="29" t="str">
        <x:v>Spain</x:v>
      </x:c>
      <x:c r="C151" s="29" t="str">
        <x:v>JP-Z3</x:v>
      </x:c>
      <x:c r="D151" s="29" t="str">
        <x:v>日本郵便 国際エアパケット</x:v>
      </x:c>
      <x:c r="E151" s="30" t="n">
        <x:v>1400</x:v>
      </x:c>
      <x:c r="F151" s="31" t="n">
        <x:f>ROUNDUP(E151/'設定・注意'!$B$4,0)-0.01</x:f>
        <x:v>9.99</x:v>
      </x:c>
      <x:c r="G151" s="30" t="n">
        <x:v>3300</x:v>
      </x:c>
      <x:c r="H151" s="31" t="n">
        <x:f>ROUNDUP(G151/'設定・注意'!$B$4,0)-0.01</x:f>
        <x:v>22.99</x:v>
      </x:c>
    </x:row>
    <x:row r="152">
      <x:c r="A152" s="29" t="str">
        <x:v>Europe (including UK)</x:v>
      </x:c>
      <x:c r="B152" s="29" t="str">
        <x:v>Svalbard and Jan Mayen</x:v>
      </x:c>
      <x:c r="C152" s="29" t="str">
        <x:v>JP-Z3</x:v>
      </x:c>
      <x:c r="D152" s="29" t="str">
        <x:v>日本郵便 国際エアパケット</x:v>
      </x:c>
      <x:c r="E152" s="30" t="n">
        <x:v>1400</x:v>
      </x:c>
      <x:c r="F152" s="31" t="n">
        <x:f>ROUNDUP(E152/'設定・注意'!$B$4,0)-0.01</x:f>
        <x:v>9.99</x:v>
      </x:c>
      <x:c r="G152" s="30" t="n">
        <x:v>3300</x:v>
      </x:c>
      <x:c r="H152" s="31" t="n">
        <x:f>ROUNDUP(G152/'設定・注意'!$B$4,0)-0.01</x:f>
        <x:v>22.99</x:v>
      </x:c>
    </x:row>
    <x:row r="153">
      <x:c r="A153" s="29" t="str">
        <x:v>Europe (including UK)</x:v>
      </x:c>
      <x:c r="B153" s="29" t="str">
        <x:v>Sweden</x:v>
      </x:c>
      <x:c r="C153" s="29" t="str">
        <x:v>JP-Z3</x:v>
      </x:c>
      <x:c r="D153" s="29" t="str">
        <x:v>日本郵便 国際エアパケット</x:v>
      </x:c>
      <x:c r="E153" s="30" t="n">
        <x:v>1400</x:v>
      </x:c>
      <x:c r="F153" s="31" t="n">
        <x:f>ROUNDUP(E153/'設定・注意'!$B$4,0)-0.01</x:f>
        <x:v>9.99</x:v>
      </x:c>
      <x:c r="G153" s="30" t="n">
        <x:v>3300</x:v>
      </x:c>
      <x:c r="H153" s="31" t="n">
        <x:f>ROUNDUP(G153/'設定・注意'!$B$4,0)-0.01</x:f>
        <x:v>22.99</x:v>
      </x:c>
    </x:row>
    <x:row r="154">
      <x:c r="A154" s="29" t="str">
        <x:v>Europe (including UK)</x:v>
      </x:c>
      <x:c r="B154" s="29" t="str">
        <x:v>Switzerland</x:v>
      </x:c>
      <x:c r="C154" s="29" t="str">
        <x:v>JP-Z3</x:v>
      </x:c>
      <x:c r="D154" s="29" t="str">
        <x:v>日本郵便 国際エアパケット</x:v>
      </x:c>
      <x:c r="E154" s="30" t="n">
        <x:v>1400</x:v>
      </x:c>
      <x:c r="F154" s="31" t="n">
        <x:f>ROUNDUP(E154/'設定・注意'!$B$4,0)-0.01</x:f>
        <x:v>9.99</x:v>
      </x:c>
      <x:c r="G154" s="30" t="n">
        <x:v>3300</x:v>
      </x:c>
      <x:c r="H154" s="31" t="n">
        <x:f>ROUNDUP(G154/'設定・注意'!$B$4,0)-0.01</x:f>
        <x:v>22.99</x:v>
      </x:c>
    </x:row>
    <x:row r="155">
      <x:c r="A155" s="29" t="str">
        <x:v>Europe (including UK)</x:v>
      </x:c>
      <x:c r="B155" s="29" t="str">
        <x:v>Ukraine</x:v>
      </x:c>
      <x:c r="C155" s="29" t="str">
        <x:v>JP-Z3</x:v>
      </x:c>
      <x:c r="D155" s="29" t="str">
        <x:v>日本郵便 国際エアパケット</x:v>
      </x:c>
      <x:c r="E155" s="30" t="n">
        <x:v>1400</x:v>
      </x:c>
      <x:c r="F155" s="31" t="n">
        <x:f>ROUNDUP(E155/'設定・注意'!$B$4,0)-0.01</x:f>
        <x:v>9.99</x:v>
      </x:c>
      <x:c r="G155" s="30" t="n">
        <x:v>3300</x:v>
      </x:c>
      <x:c r="H155" s="31" t="n">
        <x:f>ROUNDUP(G155/'設定・注意'!$B$4,0)-0.01</x:f>
        <x:v>22.99</x:v>
      </x:c>
    </x:row>
    <x:row r="156">
      <x:c r="A156" s="29" t="str">
        <x:v>Europe (including UK)</x:v>
      </x:c>
      <x:c r="B156" s="29" t="str">
        <x:v>United Kingdom</x:v>
      </x:c>
      <x:c r="C156" s="29" t="str">
        <x:v>SPK-GB</x:v>
      </x:c>
      <x:c r="D156" s="29" t="str">
        <x:v>SpeedPAK Economy</x:v>
      </x:c>
      <x:c r="E156" s="30" t="n">
        <x:v>1700</x:v>
      </x:c>
      <x:c r="F156" s="31" t="n">
        <x:f>ROUNDUP(E156/'設定・注意'!$B$4,0)-0.01</x:f>
        <x:v>11.99</x:v>
      </x:c>
      <x:c r="G156" s="30" t="n">
        <x:v>3500</x:v>
      </x:c>
      <x:c r="H156" s="31" t="n">
        <x:f>ROUNDUP(G156/'設定・注意'!$B$4,0)-0.01</x:f>
        <x:v>24.99</x:v>
      </x:c>
    </x:row>
    <x:row r="157">
      <x:c r="A157" s="29" t="str">
        <x:v>Europe (including UK)</x:v>
      </x:c>
      <x:c r="B157" s="29" t="str">
        <x:v>Vatican City State</x:v>
      </x:c>
      <x:c r="C157" s="29" t="str">
        <x:v>JP-Z3</x:v>
      </x:c>
      <x:c r="D157" s="29" t="str">
        <x:v>日本郵便 国際エアパケット</x:v>
      </x:c>
      <x:c r="E157" s="30" t="n">
        <x:v>1400</x:v>
      </x:c>
      <x:c r="F157" s="31" t="n">
        <x:f>ROUNDUP(E157/'設定・注意'!$B$4,0)-0.01</x:f>
        <x:v>9.99</x:v>
      </x:c>
      <x:c r="G157" s="30" t="n">
        <x:v>3300</x:v>
      </x:c>
      <x:c r="H157" s="31" t="n">
        <x:f>ROUNDUP(G157/'設定・注意'!$B$4,0)-0.01</x:f>
        <x:v>22.99</x:v>
      </x:c>
    </x:row>
    <x:row r="158">
      <x:c r="A158" s="29" t="str">
        <x:v>Middle East</x:v>
      </x:c>
      <x:c r="B158" s="29" t="str">
        <x:v>Bahrain</x:v>
      </x:c>
      <x:c r="C158" s="29" t="str">
        <x:v>JP-Z3</x:v>
      </x:c>
      <x:c r="D158" s="29" t="str">
        <x:v>日本郵便 国際エアパケット</x:v>
      </x:c>
      <x:c r="E158" s="30" t="n">
        <x:v>1400</x:v>
      </x:c>
      <x:c r="F158" s="31" t="n">
        <x:f>ROUNDUP(E158/'設定・注意'!$B$4,0)-0.01</x:f>
        <x:v>9.99</x:v>
      </x:c>
      <x:c r="G158" s="30" t="n">
        <x:v>3300</x:v>
      </x:c>
      <x:c r="H158" s="31" t="n">
        <x:f>ROUNDUP(G158/'設定・注意'!$B$4,0)-0.01</x:f>
        <x:v>22.99</x:v>
      </x:c>
    </x:row>
    <x:row r="159">
      <x:c r="A159" s="29" t="str">
        <x:v>Middle East</x:v>
      </x:c>
      <x:c r="B159" s="29" t="str">
        <x:v>Iraq</x:v>
      </x:c>
      <x:c r="C159" s="29" t="str">
        <x:v>JP-Z3</x:v>
      </x:c>
      <x:c r="D159" s="29" t="str">
        <x:v>日本郵便 国際エアパケット</x:v>
      </x:c>
      <x:c r="E159" s="30" t="n">
        <x:v>1400</x:v>
      </x:c>
      <x:c r="F159" s="31" t="n">
        <x:f>ROUNDUP(E159/'設定・注意'!$B$4,0)-0.01</x:f>
        <x:v>9.99</x:v>
      </x:c>
      <x:c r="G159" s="30" t="n">
        <x:v>3300</x:v>
      </x:c>
      <x:c r="H159" s="31" t="n">
        <x:f>ROUNDUP(G159/'設定・注意'!$B$4,0)-0.01</x:f>
        <x:v>22.99</x:v>
      </x:c>
    </x:row>
    <x:row r="160">
      <x:c r="A160" s="29" t="str">
        <x:v>Middle East</x:v>
      </x:c>
      <x:c r="B160" s="29" t="str">
        <x:v>Israel</x:v>
      </x:c>
      <x:c r="C160" s="29" t="str">
        <x:v>JP-Z3</x:v>
      </x:c>
      <x:c r="D160" s="29" t="str">
        <x:v>日本郵便 国際エアパケット</x:v>
      </x:c>
      <x:c r="E160" s="30" t="n">
        <x:v>1400</x:v>
      </x:c>
      <x:c r="F160" s="31" t="n">
        <x:f>ROUNDUP(E160/'設定・注意'!$B$4,0)-0.01</x:f>
        <x:v>9.99</x:v>
      </x:c>
      <x:c r="G160" s="30" t="n">
        <x:v>3300</x:v>
      </x:c>
      <x:c r="H160" s="31" t="n">
        <x:f>ROUNDUP(G160/'設定・注意'!$B$4,0)-0.01</x:f>
        <x:v>22.99</x:v>
      </x:c>
    </x:row>
    <x:row r="161">
      <x:c r="A161" s="29" t="str">
        <x:v>Middle East</x:v>
      </x:c>
      <x:c r="B161" s="29" t="str">
        <x:v>Jordan</x:v>
      </x:c>
      <x:c r="C161" s="29" t="str">
        <x:v>JP-Z3</x:v>
      </x:c>
      <x:c r="D161" s="29" t="str">
        <x:v>日本郵便 国際エアパケット</x:v>
      </x:c>
      <x:c r="E161" s="30" t="n">
        <x:v>1400</x:v>
      </x:c>
      <x:c r="F161" s="31" t="n">
        <x:f>ROUNDUP(E161/'設定・注意'!$B$4,0)-0.01</x:f>
        <x:v>9.99</x:v>
      </x:c>
      <x:c r="G161" s="30" t="n">
        <x:v>3300</x:v>
      </x:c>
      <x:c r="H161" s="31" t="n">
        <x:f>ROUNDUP(G161/'設定・注意'!$B$4,0)-0.01</x:f>
        <x:v>22.99</x:v>
      </x:c>
    </x:row>
    <x:row r="162">
      <x:c r="A162" s="29" t="str">
        <x:v>Middle East</x:v>
      </x:c>
      <x:c r="B162" s="29" t="str">
        <x:v>Kuwait</x:v>
      </x:c>
      <x:c r="C162" s="29" t="str">
        <x:v>JP-Z3</x:v>
      </x:c>
      <x:c r="D162" s="29" t="str">
        <x:v>日本郵便 国際エアパケット</x:v>
      </x:c>
      <x:c r="E162" s="30" t="n">
        <x:v>1400</x:v>
      </x:c>
      <x:c r="F162" s="31" t="n">
        <x:f>ROUNDUP(E162/'設定・注意'!$B$4,0)-0.01</x:f>
        <x:v>9.99</x:v>
      </x:c>
      <x:c r="G162" s="30" t="n">
        <x:v>3300</x:v>
      </x:c>
      <x:c r="H162" s="31" t="n">
        <x:f>ROUNDUP(G162/'設定・注意'!$B$4,0)-0.01</x:f>
        <x:v>22.99</x:v>
      </x:c>
    </x:row>
    <x:row r="163">
      <x:c r="A163" s="29" t="str">
        <x:v>Middle East</x:v>
      </x:c>
      <x:c r="B163" s="29" t="str">
        <x:v>Lebanon</x:v>
      </x:c>
      <x:c r="C163" s="29" t="str">
        <x:v>JP-Z3</x:v>
      </x:c>
      <x:c r="D163" s="29" t="str">
        <x:v>日本郵便 国際エアパケット</x:v>
      </x:c>
      <x:c r="E163" s="30" t="n">
        <x:v>1400</x:v>
      </x:c>
      <x:c r="F163" s="31" t="n">
        <x:f>ROUNDUP(E163/'設定・注意'!$B$4,0)-0.01</x:f>
        <x:v>9.99</x:v>
      </x:c>
      <x:c r="G163" s="30" t="n">
        <x:v>3300</x:v>
      </x:c>
      <x:c r="H163" s="31" t="n">
        <x:f>ROUNDUP(G163/'設定・注意'!$B$4,0)-0.01</x:f>
        <x:v>22.99</x:v>
      </x:c>
    </x:row>
    <x:row r="164">
      <x:c r="A164" s="29" t="str">
        <x:v>Middle East</x:v>
      </x:c>
      <x:c r="B164" s="29" t="str">
        <x:v>Oman</x:v>
      </x:c>
      <x:c r="C164" s="29" t="str">
        <x:v>JP-Z3</x:v>
      </x:c>
      <x:c r="D164" s="29" t="str">
        <x:v>日本郵便 国際エアパケット</x:v>
      </x:c>
      <x:c r="E164" s="30" t="n">
        <x:v>1400</x:v>
      </x:c>
      <x:c r="F164" s="31" t="n">
        <x:f>ROUNDUP(E164/'設定・注意'!$B$4,0)-0.01</x:f>
        <x:v>9.99</x:v>
      </x:c>
      <x:c r="G164" s="30" t="n">
        <x:v>3300</x:v>
      </x:c>
      <x:c r="H164" s="31" t="n">
        <x:f>ROUNDUP(G164/'設定・注意'!$B$4,0)-0.01</x:f>
        <x:v>22.99</x:v>
      </x:c>
    </x:row>
    <x:row r="165">
      <x:c r="A165" s="29" t="str">
        <x:v>Middle East</x:v>
      </x:c>
      <x:c r="B165" s="29" t="str">
        <x:v>Qatar</x:v>
      </x:c>
      <x:c r="C165" s="29" t="str">
        <x:v>JP-Z3</x:v>
      </x:c>
      <x:c r="D165" s="29" t="str">
        <x:v>日本郵便 国際エアパケット</x:v>
      </x:c>
      <x:c r="E165" s="30" t="n">
        <x:v>1400</x:v>
      </x:c>
      <x:c r="F165" s="31" t="n">
        <x:f>ROUNDUP(E165/'設定・注意'!$B$4,0)-0.01</x:f>
        <x:v>9.99</x:v>
      </x:c>
      <x:c r="G165" s="30" t="n">
        <x:v>3300</x:v>
      </x:c>
      <x:c r="H165" s="31" t="n">
        <x:f>ROUNDUP(G165/'設定・注意'!$B$4,0)-0.01</x:f>
        <x:v>22.99</x:v>
      </x:c>
    </x:row>
    <x:row r="166">
      <x:c r="A166" s="29" t="str">
        <x:v>Middle East</x:v>
      </x:c>
      <x:c r="B166" s="29" t="str">
        <x:v>Saudi Arabia</x:v>
      </x:c>
      <x:c r="C166" s="29" t="str">
        <x:v>JP-Z3</x:v>
      </x:c>
      <x:c r="D166" s="29" t="str">
        <x:v>日本郵便 国際エアパケット</x:v>
      </x:c>
      <x:c r="E166" s="30" t="n">
        <x:v>1400</x:v>
      </x:c>
      <x:c r="F166" s="31" t="n">
        <x:f>ROUNDUP(E166/'設定・注意'!$B$4,0)-0.01</x:f>
        <x:v>9.99</x:v>
      </x:c>
      <x:c r="G166" s="30" t="n">
        <x:v>3300</x:v>
      </x:c>
      <x:c r="H166" s="31" t="n">
        <x:f>ROUNDUP(G166/'設定・注意'!$B$4,0)-0.01</x:f>
        <x:v>22.99</x:v>
      </x:c>
    </x:row>
    <x:row r="167">
      <x:c r="A167" s="29" t="str">
        <x:v>Middle East</x:v>
      </x:c>
      <x:c r="B167" s="29" t="str">
        <x:v>Turkey</x:v>
      </x:c>
      <x:c r="C167" s="29" t="str">
        <x:v>JP-Z3</x:v>
      </x:c>
      <x:c r="D167" s="29" t="str">
        <x:v>日本郵便 国際エアパケット</x:v>
      </x:c>
      <x:c r="E167" s="30" t="n">
        <x:v>1400</x:v>
      </x:c>
      <x:c r="F167" s="31" t="n">
        <x:f>ROUNDUP(E167/'設定・注意'!$B$4,0)-0.01</x:f>
        <x:v>9.99</x:v>
      </x:c>
      <x:c r="G167" s="30" t="n">
        <x:v>3300</x:v>
      </x:c>
      <x:c r="H167" s="31" t="n">
        <x:f>ROUNDUP(G167/'設定・注意'!$B$4,0)-0.01</x:f>
        <x:v>22.99</x:v>
      </x:c>
    </x:row>
    <x:row r="168">
      <x:c r="A168" s="29" t="str">
        <x:v>Middle East</x:v>
      </x:c>
      <x:c r="B168" s="29" t="str">
        <x:v>United Arab Emirates</x:v>
      </x:c>
      <x:c r="C168" s="29" t="str">
        <x:v>JP-Z3</x:v>
      </x:c>
      <x:c r="D168" s="29" t="str">
        <x:v>日本郵便 国際エアパケット</x:v>
      </x:c>
      <x:c r="E168" s="30" t="n">
        <x:v>1400</x:v>
      </x:c>
      <x:c r="F168" s="31" t="n">
        <x:f>ROUNDUP(E168/'設定・注意'!$B$4,0)-0.01</x:f>
        <x:v>9.99</x:v>
      </x:c>
      <x:c r="G168" s="30" t="n">
        <x:v>3300</x:v>
      </x:c>
      <x:c r="H168" s="31" t="n">
        <x:f>ROUNDUP(G168/'設定・注意'!$B$4,0)-0.01</x:f>
        <x:v>22.99</x:v>
      </x:c>
    </x:row>
    <x:row r="169">
      <x:c r="A169" s="29" t="str">
        <x:v>Middle East</x:v>
      </x:c>
      <x:c r="B169" s="29" t="str">
        <x:v>Yemen</x:v>
      </x:c>
      <x:c r="C169" s="29" t="str">
        <x:v>JP-Z3</x:v>
      </x:c>
      <x:c r="D169" s="29" t="str">
        <x:v>日本郵便 国際エアパケット</x:v>
      </x:c>
      <x:c r="E169" s="30" t="n">
        <x:v>1400</x:v>
      </x:c>
      <x:c r="F169" s="31" t="n">
        <x:f>ROUNDUP(E169/'設定・注意'!$B$4,0)-0.01</x:f>
        <x:v>9.99</x:v>
      </x:c>
      <x:c r="G169" s="30" t="n">
        <x:v>3300</x:v>
      </x:c>
      <x:c r="H169" s="31" t="n">
        <x:f>ROUNDUP(G169/'設定・注意'!$B$4,0)-0.01</x:f>
        <x:v>22.99</x:v>
      </x:c>
    </x:row>
    <x:row r="170">
      <x:c r="A170" s="29" t="str">
        <x:v>North America</x:v>
      </x:c>
      <x:c r="B170" s="29" t="str">
        <x:v>Bermuda</x:v>
      </x:c>
      <x:c r="C170" s="29" t="str">
        <x:v>JP-Z3</x:v>
      </x:c>
      <x:c r="D170" s="29" t="str">
        <x:v>日本郵便 国際エアパケット</x:v>
      </x:c>
      <x:c r="E170" s="30" t="n">
        <x:v>1400</x:v>
      </x:c>
      <x:c r="F170" s="31" t="n">
        <x:f>ROUNDUP(E170/'設定・注意'!$B$4,0)-0.01</x:f>
        <x:v>9.99</x:v>
      </x:c>
      <x:c r="G170" s="30" t="n">
        <x:v>3300</x:v>
      </x:c>
      <x:c r="H170" s="31" t="n">
        <x:f>ROUNDUP(G170/'設定・注意'!$B$4,0)-0.01</x:f>
        <x:v>22.99</x:v>
      </x:c>
    </x:row>
    <x:row r="171">
      <x:c r="A171" s="29" t="str">
        <x:v>North America</x:v>
      </x:c>
      <x:c r="B171" s="29" t="str">
        <x:v>Canada</x:v>
      </x:c>
      <x:c r="C171" s="29" t="str">
        <x:v>JP-Z3</x:v>
      </x:c>
      <x:c r="D171" s="29" t="str">
        <x:v>日本郵便 国際エアパケット</x:v>
      </x:c>
      <x:c r="E171" s="30" t="n">
        <x:v>1400</x:v>
      </x:c>
      <x:c r="F171" s="31" t="n">
        <x:f>ROUNDUP(E171/'設定・注意'!$B$4,0)-0.01</x:f>
        <x:v>9.99</x:v>
      </x:c>
      <x:c r="G171" s="30" t="n">
        <x:v>3300</x:v>
      </x:c>
      <x:c r="H171" s="31" t="n">
        <x:f>ROUNDUP(G171/'設定・注意'!$B$4,0)-0.01</x:f>
        <x:v>22.99</x:v>
      </x:c>
    </x:row>
    <x:row r="172">
      <x:c r="A172" s="29" t="str">
        <x:v>North America</x:v>
      </x:c>
      <x:c r="B172" s="29" t="str">
        <x:v>Greenland</x:v>
      </x:c>
      <x:c r="C172" s="29" t="str">
        <x:v>JP-Z3</x:v>
      </x:c>
      <x:c r="D172" s="29" t="str">
        <x:v>日本郵便 国際エアパケット</x:v>
      </x:c>
      <x:c r="E172" s="30" t="n">
        <x:v>1400</x:v>
      </x:c>
      <x:c r="F172" s="31" t="n">
        <x:f>ROUNDUP(E172/'設定・注意'!$B$4,0)-0.01</x:f>
        <x:v>9.99</x:v>
      </x:c>
      <x:c r="G172" s="30" t="n">
        <x:v>3300</x:v>
      </x:c>
      <x:c r="H172" s="31" t="n">
        <x:f>ROUNDUP(G172/'設定・注意'!$B$4,0)-0.01</x:f>
        <x:v>22.99</x:v>
      </x:c>
    </x:row>
    <x:row r="173">
      <x:c r="A173" s="29" t="str">
        <x:v>North America</x:v>
      </x:c>
      <x:c r="B173" s="29" t="str">
        <x:v>Mexico</x:v>
      </x:c>
      <x:c r="C173" s="29" t="str">
        <x:v>JP-Z3</x:v>
      </x:c>
      <x:c r="D173" s="29" t="str">
        <x:v>日本郵便 国際エアパケット</x:v>
      </x:c>
      <x:c r="E173" s="30" t="n">
        <x:v>1400</x:v>
      </x:c>
      <x:c r="F173" s="31" t="n">
        <x:f>ROUNDUP(E173/'設定・注意'!$B$4,0)-0.01</x:f>
        <x:v>9.99</x:v>
      </x:c>
      <x:c r="G173" s="30" t="n">
        <x:v>3300</x:v>
      </x:c>
      <x:c r="H173" s="31" t="n">
        <x:f>ROUNDUP(G173/'設定・注意'!$B$4,0)-0.01</x:f>
        <x:v>22.99</x:v>
      </x:c>
    </x:row>
    <x:row r="174">
      <x:c r="A174" s="29" t="str">
        <x:v>North America</x:v>
      </x:c>
      <x:c r="B174" s="29" t="str">
        <x:v>Saint Pierre and Miquelon</x:v>
      </x:c>
      <x:c r="C174" s="29" t="str">
        <x:v>JP-Z3</x:v>
      </x:c>
      <x:c r="D174" s="29" t="str">
        <x:v>日本郵便 国際エアパケット</x:v>
      </x:c>
      <x:c r="E174" s="30" t="n">
        <x:v>1400</x:v>
      </x:c>
      <x:c r="F174" s="31" t="n">
        <x:f>ROUNDUP(E174/'設定・注意'!$B$4,0)-0.01</x:f>
        <x:v>9.99</x:v>
      </x:c>
      <x:c r="G174" s="30" t="n">
        <x:v>3300</x:v>
      </x:c>
      <x:c r="H174" s="31" t="n">
        <x:f>ROUNDUP(G174/'設定・注意'!$B$4,0)-0.01</x:f>
        <x:v>22.99</x:v>
      </x:c>
    </x:row>
    <x:row r="175">
      <x:c r="A175" s="29" t="str">
        <x:v>Oceania</x:v>
      </x:c>
      <x:c r="B175" s="29" t="str">
        <x:v>American Samoa</x:v>
      </x:c>
      <x:c r="C175" s="29" t="str">
        <x:v>JP-Z4</x:v>
      </x:c>
      <x:c r="D175" s="29" t="str">
        <x:v>日本郵便 国際エアパケット</x:v>
      </x:c>
      <x:c r="E175" s="30" t="n">
        <x:v>1800</x:v>
      </x:c>
      <x:c r="F175" s="31" t="n">
        <x:f>ROUNDUP(E175/'設定・注意'!$B$4,0)-0.01</x:f>
        <x:v>12.99</x:v>
      </x:c>
      <x:c r="G175" s="30" t="n">
        <x:v>4000</x:v>
      </x:c>
      <x:c r="H175" s="31" t="n">
        <x:f>ROUNDUP(G175/'設定・注意'!$B$4,0)-0.01</x:f>
        <x:v>27.99</x:v>
      </x:c>
    </x:row>
    <x:row r="176">
      <x:c r="A176" s="29" t="str">
        <x:v>Oceania</x:v>
      </x:c>
      <x:c r="B176" s="29" t="str">
        <x:v>Australia</x:v>
      </x:c>
      <x:c r="C176" s="29" t="str">
        <x:v>SPK-AU</x:v>
      </x:c>
      <x:c r="D176" s="29" t="str">
        <x:v>SpeedPAK Economy</x:v>
      </x:c>
      <x:c r="E176" s="30" t="n">
        <x:v>2000</x:v>
      </x:c>
      <x:c r="F176" s="31" t="n">
        <x:f>ROUNDUP(E176/'設定・注意'!$B$4,0)-0.01</x:f>
        <x:v>13.99</x:v>
      </x:c>
      <x:c r="G176" s="30" t="n">
        <x:v>3300</x:v>
      </x:c>
      <x:c r="H176" s="31" t="n">
        <x:f>ROUNDUP(G176/'設定・注意'!$B$4,0)-0.01</x:f>
        <x:v>22.99</x:v>
      </x:c>
    </x:row>
    <x:row r="177">
      <x:c r="A177" s="29" t="str">
        <x:v>Oceania</x:v>
      </x:c>
      <x:c r="B177" s="29" t="str">
        <x:v>Cook Islands</x:v>
      </x:c>
      <x:c r="C177" s="29" t="str">
        <x:v>JP-Z3</x:v>
      </x:c>
      <x:c r="D177" s="29" t="str">
        <x:v>日本郵便 国際エアパケット</x:v>
      </x:c>
      <x:c r="E177" s="30" t="n">
        <x:v>1400</x:v>
      </x:c>
      <x:c r="F177" s="31" t="n">
        <x:f>ROUNDUP(E177/'設定・注意'!$B$4,0)-0.01</x:f>
        <x:v>9.99</x:v>
      </x:c>
      <x:c r="G177" s="30" t="n">
        <x:v>3300</x:v>
      </x:c>
      <x:c r="H177" s="31" t="n">
        <x:f>ROUNDUP(G177/'設定・注意'!$B$4,0)-0.01</x:f>
        <x:v>22.99</x:v>
      </x:c>
    </x:row>
    <x:row r="178">
      <x:c r="A178" s="29" t="str">
        <x:v>Oceania</x:v>
      </x:c>
      <x:c r="B178" s="29" t="str">
        <x:v>Fiji</x:v>
      </x:c>
      <x:c r="C178" s="29" t="str">
        <x:v>JP-Z3</x:v>
      </x:c>
      <x:c r="D178" s="29" t="str">
        <x:v>日本郵便 国際エアパケット</x:v>
      </x:c>
      <x:c r="E178" s="30" t="n">
        <x:v>1400</x:v>
      </x:c>
      <x:c r="F178" s="31" t="n">
        <x:f>ROUNDUP(E178/'設定・注意'!$B$4,0)-0.01</x:f>
        <x:v>9.99</x:v>
      </x:c>
      <x:c r="G178" s="30" t="n">
        <x:v>3300</x:v>
      </x:c>
      <x:c r="H178" s="31" t="n">
        <x:f>ROUNDUP(G178/'設定・注意'!$B$4,0)-0.01</x:f>
        <x:v>22.99</x:v>
      </x:c>
    </x:row>
    <x:row r="179">
      <x:c r="A179" s="29" t="str">
        <x:v>Oceania</x:v>
      </x:c>
      <x:c r="B179" s="29" t="str">
        <x:v>French Polynesia</x:v>
      </x:c>
      <x:c r="C179" s="29" t="str">
        <x:v>JP-Z3</x:v>
      </x:c>
      <x:c r="D179" s="29" t="str">
        <x:v>日本郵便 国際エアパケット</x:v>
      </x:c>
      <x:c r="E179" s="30" t="n">
        <x:v>1400</x:v>
      </x:c>
      <x:c r="F179" s="31" t="n">
        <x:f>ROUNDUP(E179/'設定・注意'!$B$4,0)-0.01</x:f>
        <x:v>9.99</x:v>
      </x:c>
      <x:c r="G179" s="30" t="n">
        <x:v>3300</x:v>
      </x:c>
      <x:c r="H179" s="31" t="n">
        <x:f>ROUNDUP(G179/'設定・注意'!$B$4,0)-0.01</x:f>
        <x:v>22.99</x:v>
      </x:c>
    </x:row>
    <x:row r="180">
      <x:c r="A180" s="29" t="str">
        <x:v>Oceania</x:v>
      </x:c>
      <x:c r="B180" s="29" t="str">
        <x:v>Guam</x:v>
      </x:c>
      <x:c r="C180" s="29" t="str">
        <x:v>JP-Z4</x:v>
      </x:c>
      <x:c r="D180" s="29" t="str">
        <x:v>日本郵便 国際エアパケット</x:v>
      </x:c>
      <x:c r="E180" s="30" t="n">
        <x:v>1800</x:v>
      </x:c>
      <x:c r="F180" s="31" t="n">
        <x:f>ROUNDUP(E180/'設定・注意'!$B$4,0)-0.01</x:f>
        <x:v>12.99</x:v>
      </x:c>
      <x:c r="G180" s="30" t="n">
        <x:v>4000</x:v>
      </x:c>
      <x:c r="H180" s="31" t="n">
        <x:f>ROUNDUP(G180/'設定・注意'!$B$4,0)-0.01</x:f>
        <x:v>27.99</x:v>
      </x:c>
    </x:row>
    <x:row r="181">
      <x:c r="A181" s="29" t="str">
        <x:v>Oceania</x:v>
      </x:c>
      <x:c r="B181" s="29" t="str">
        <x:v>Kiribati</x:v>
      </x:c>
      <x:c r="C181" s="29" t="str">
        <x:v>JP-Z3</x:v>
      </x:c>
      <x:c r="D181" s="29" t="str">
        <x:v>日本郵便 国際エアパケット</x:v>
      </x:c>
      <x:c r="E181" s="30" t="n">
        <x:v>1400</x:v>
      </x:c>
      <x:c r="F181" s="31" t="n">
        <x:f>ROUNDUP(E181/'設定・注意'!$B$4,0)-0.01</x:f>
        <x:v>9.99</x:v>
      </x:c>
      <x:c r="G181" s="30" t="n">
        <x:v>3300</x:v>
      </x:c>
      <x:c r="H181" s="31" t="n">
        <x:f>ROUNDUP(G181/'設定・注意'!$B$4,0)-0.01</x:f>
        <x:v>22.99</x:v>
      </x:c>
    </x:row>
    <x:row r="182">
      <x:c r="A182" s="29" t="str">
        <x:v>Oceania</x:v>
      </x:c>
      <x:c r="B182" s="29" t="str">
        <x:v>Marshall Islands</x:v>
      </x:c>
      <x:c r="C182" s="29" t="str">
        <x:v>JP-Z3</x:v>
      </x:c>
      <x:c r="D182" s="29" t="str">
        <x:v>日本郵便 国際エアパケット</x:v>
      </x:c>
      <x:c r="E182" s="30" t="n">
        <x:v>1400</x:v>
      </x:c>
      <x:c r="F182" s="31" t="n">
        <x:f>ROUNDUP(E182/'設定・注意'!$B$4,0)-0.01</x:f>
        <x:v>9.99</x:v>
      </x:c>
      <x:c r="G182" s="30" t="n">
        <x:v>3300</x:v>
      </x:c>
      <x:c r="H182" s="31" t="n">
        <x:f>ROUNDUP(G182/'設定・注意'!$B$4,0)-0.01</x:f>
        <x:v>22.99</x:v>
      </x:c>
    </x:row>
    <x:row r="183">
      <x:c r="A183" s="29" t="str">
        <x:v>Oceania</x:v>
      </x:c>
      <x:c r="B183" s="29" t="str">
        <x:v>Micronesia</x:v>
      </x:c>
      <x:c r="C183" s="29" t="str">
        <x:v>JP-Z3</x:v>
      </x:c>
      <x:c r="D183" s="29" t="str">
        <x:v>日本郵便 国際エアパケット</x:v>
      </x:c>
      <x:c r="E183" s="30" t="n">
        <x:v>1400</x:v>
      </x:c>
      <x:c r="F183" s="31" t="n">
        <x:f>ROUNDUP(E183/'設定・注意'!$B$4,0)-0.01</x:f>
        <x:v>9.99</x:v>
      </x:c>
      <x:c r="G183" s="30" t="n">
        <x:v>3300</x:v>
      </x:c>
      <x:c r="H183" s="31" t="n">
        <x:f>ROUNDUP(G183/'設定・注意'!$B$4,0)-0.01</x:f>
        <x:v>22.99</x:v>
      </x:c>
    </x:row>
    <x:row r="184">
      <x:c r="A184" s="29" t="str">
        <x:v>Oceania</x:v>
      </x:c>
      <x:c r="B184" s="29" t="str">
        <x:v>Nauru</x:v>
      </x:c>
      <x:c r="C184" s="29" t="str">
        <x:v>JP-Z3</x:v>
      </x:c>
      <x:c r="D184" s="29" t="str">
        <x:v>日本郵便 国際エアパケット</x:v>
      </x:c>
      <x:c r="E184" s="30" t="n">
        <x:v>1400</x:v>
      </x:c>
      <x:c r="F184" s="31" t="n">
        <x:f>ROUNDUP(E184/'設定・注意'!$B$4,0)-0.01</x:f>
        <x:v>9.99</x:v>
      </x:c>
      <x:c r="G184" s="30" t="n">
        <x:v>3300</x:v>
      </x:c>
      <x:c r="H184" s="31" t="n">
        <x:f>ROUNDUP(G184/'設定・注意'!$B$4,0)-0.01</x:f>
        <x:v>22.99</x:v>
      </x:c>
    </x:row>
    <x:row r="185">
      <x:c r="A185" s="29" t="str">
        <x:v>Oceania</x:v>
      </x:c>
      <x:c r="B185" s="29" t="str">
        <x:v>New Caledonia</x:v>
      </x:c>
      <x:c r="C185" s="29" t="str">
        <x:v>JP-Z3</x:v>
      </x:c>
      <x:c r="D185" s="29" t="str">
        <x:v>日本郵便 国際エアパケット</x:v>
      </x:c>
      <x:c r="E185" s="30" t="n">
        <x:v>1400</x:v>
      </x:c>
      <x:c r="F185" s="31" t="n">
        <x:f>ROUNDUP(E185/'設定・注意'!$B$4,0)-0.01</x:f>
        <x:v>9.99</x:v>
      </x:c>
      <x:c r="G185" s="30" t="n">
        <x:v>3300</x:v>
      </x:c>
      <x:c r="H185" s="31" t="n">
        <x:f>ROUNDUP(G185/'設定・注意'!$B$4,0)-0.01</x:f>
        <x:v>22.99</x:v>
      </x:c>
    </x:row>
    <x:row r="186">
      <x:c r="A186" s="29" t="str">
        <x:v>Oceania</x:v>
      </x:c>
      <x:c r="B186" s="29" t="str">
        <x:v>New Zealand</x:v>
      </x:c>
      <x:c r="C186" s="29" t="str">
        <x:v>JP-Z3</x:v>
      </x:c>
      <x:c r="D186" s="29" t="str">
        <x:v>日本郵便 国際エアパケット</x:v>
      </x:c>
      <x:c r="E186" s="30" t="n">
        <x:v>1400</x:v>
      </x:c>
      <x:c r="F186" s="31" t="n">
        <x:f>ROUNDUP(E186/'設定・注意'!$B$4,0)-0.01</x:f>
        <x:v>9.99</x:v>
      </x:c>
      <x:c r="G186" s="30" t="n">
        <x:v>3300</x:v>
      </x:c>
      <x:c r="H186" s="31" t="n">
        <x:f>ROUNDUP(G186/'設定・注意'!$B$4,0)-0.01</x:f>
        <x:v>22.99</x:v>
      </x:c>
    </x:row>
    <x:row r="187">
      <x:c r="A187" s="29" t="str">
        <x:v>Oceania</x:v>
      </x:c>
      <x:c r="B187" s="29" t="str">
        <x:v>Niue</x:v>
      </x:c>
      <x:c r="C187" s="29" t="str">
        <x:v>JP-Z3</x:v>
      </x:c>
      <x:c r="D187" s="29" t="str">
        <x:v>日本郵便 国際エアパケット</x:v>
      </x:c>
      <x:c r="E187" s="30" t="n">
        <x:v>1400</x:v>
      </x:c>
      <x:c r="F187" s="31" t="n">
        <x:f>ROUNDUP(E187/'設定・注意'!$B$4,0)-0.01</x:f>
        <x:v>9.99</x:v>
      </x:c>
      <x:c r="G187" s="30" t="n">
        <x:v>3300</x:v>
      </x:c>
      <x:c r="H187" s="31" t="n">
        <x:f>ROUNDUP(G187/'設定・注意'!$B$4,0)-0.01</x:f>
        <x:v>22.99</x:v>
      </x:c>
    </x:row>
    <x:row r="188">
      <x:c r="A188" s="29" t="str">
        <x:v>Oceania</x:v>
      </x:c>
      <x:c r="B188" s="29" t="str">
        <x:v>Palau</x:v>
      </x:c>
      <x:c r="C188" s="29" t="str">
        <x:v>JP-Z3</x:v>
      </x:c>
      <x:c r="D188" s="29" t="str">
        <x:v>日本郵便 国際エアパケット</x:v>
      </x:c>
      <x:c r="E188" s="30" t="n">
        <x:v>1400</x:v>
      </x:c>
      <x:c r="F188" s="31" t="n">
        <x:f>ROUNDUP(E188/'設定・注意'!$B$4,0)-0.01</x:f>
        <x:v>9.99</x:v>
      </x:c>
      <x:c r="G188" s="30" t="n">
        <x:v>3300</x:v>
      </x:c>
      <x:c r="H188" s="31" t="n">
        <x:f>ROUNDUP(G188/'設定・注意'!$B$4,0)-0.01</x:f>
        <x:v>22.99</x:v>
      </x:c>
    </x:row>
    <x:row r="189">
      <x:c r="A189" s="29" t="str">
        <x:v>Oceania</x:v>
      </x:c>
      <x:c r="B189" s="29" t="str">
        <x:v>Papua New Guinea</x:v>
      </x:c>
      <x:c r="C189" s="29" t="str">
        <x:v>JP-Z3</x:v>
      </x:c>
      <x:c r="D189" s="29" t="str">
        <x:v>日本郵便 国際エアパケット</x:v>
      </x:c>
      <x:c r="E189" s="30" t="n">
        <x:v>1400</x:v>
      </x:c>
      <x:c r="F189" s="31" t="n">
        <x:f>ROUNDUP(E189/'設定・注意'!$B$4,0)-0.01</x:f>
        <x:v>9.99</x:v>
      </x:c>
      <x:c r="G189" s="30" t="n">
        <x:v>3300</x:v>
      </x:c>
      <x:c r="H189" s="31" t="n">
        <x:f>ROUNDUP(G189/'設定・注意'!$B$4,0)-0.01</x:f>
        <x:v>22.99</x:v>
      </x:c>
    </x:row>
    <x:row r="190">
      <x:c r="A190" s="29" t="str">
        <x:v>Oceania</x:v>
      </x:c>
      <x:c r="B190" s="29" t="str">
        <x:v>Solomon Islands</x:v>
      </x:c>
      <x:c r="C190" s="29" t="str">
        <x:v>JP-Z3</x:v>
      </x:c>
      <x:c r="D190" s="29" t="str">
        <x:v>日本郵便 国際エアパケット</x:v>
      </x:c>
      <x:c r="E190" s="30" t="n">
        <x:v>1400</x:v>
      </x:c>
      <x:c r="F190" s="31" t="n">
        <x:f>ROUNDUP(E190/'設定・注意'!$B$4,0)-0.01</x:f>
        <x:v>9.99</x:v>
      </x:c>
      <x:c r="G190" s="30" t="n">
        <x:v>3300</x:v>
      </x:c>
      <x:c r="H190" s="31" t="n">
        <x:f>ROUNDUP(G190/'設定・注意'!$B$4,0)-0.01</x:f>
        <x:v>22.99</x:v>
      </x:c>
    </x:row>
    <x:row r="191">
      <x:c r="A191" s="29" t="str">
        <x:v>Oceania</x:v>
      </x:c>
      <x:c r="B191" s="29" t="str">
        <x:v>Tonga</x:v>
      </x:c>
      <x:c r="C191" s="29" t="str">
        <x:v>JP-Z3</x:v>
      </x:c>
      <x:c r="D191" s="29" t="str">
        <x:v>日本郵便 国際エアパケット</x:v>
      </x:c>
      <x:c r="E191" s="30" t="n">
        <x:v>1400</x:v>
      </x:c>
      <x:c r="F191" s="31" t="n">
        <x:f>ROUNDUP(E191/'設定・注意'!$B$4,0)-0.01</x:f>
        <x:v>9.99</x:v>
      </x:c>
      <x:c r="G191" s="30" t="n">
        <x:v>3300</x:v>
      </x:c>
      <x:c r="H191" s="31" t="n">
        <x:f>ROUNDUP(G191/'設定・注意'!$B$4,0)-0.01</x:f>
        <x:v>22.99</x:v>
      </x:c>
    </x:row>
    <x:row r="192">
      <x:c r="A192" s="29" t="str">
        <x:v>Oceania</x:v>
      </x:c>
      <x:c r="B192" s="29" t="str">
        <x:v>Tuvalu</x:v>
      </x:c>
      <x:c r="C192" s="29" t="str">
        <x:v>JP-Z3</x:v>
      </x:c>
      <x:c r="D192" s="29" t="str">
        <x:v>日本郵便 国際エアパケット</x:v>
      </x:c>
      <x:c r="E192" s="30" t="n">
        <x:v>1400</x:v>
      </x:c>
      <x:c r="F192" s="31" t="n">
        <x:f>ROUNDUP(E192/'設定・注意'!$B$4,0)-0.01</x:f>
        <x:v>9.99</x:v>
      </x:c>
      <x:c r="G192" s="30" t="n">
        <x:v>3300</x:v>
      </x:c>
      <x:c r="H192" s="31" t="n">
        <x:f>ROUNDUP(G192/'設定・注意'!$B$4,0)-0.01</x:f>
        <x:v>22.99</x:v>
      </x:c>
    </x:row>
    <x:row r="193">
      <x:c r="A193" s="29" t="str">
        <x:v>Oceania</x:v>
      </x:c>
      <x:c r="B193" s="29" t="str">
        <x:v>Vanuatu</x:v>
      </x:c>
      <x:c r="C193" s="29" t="str">
        <x:v>JP-Z3</x:v>
      </x:c>
      <x:c r="D193" s="29" t="str">
        <x:v>日本郵便 国際エアパケット</x:v>
      </x:c>
      <x:c r="E193" s="30" t="n">
        <x:v>1400</x:v>
      </x:c>
      <x:c r="F193" s="31" t="n">
        <x:f>ROUNDUP(E193/'設定・注意'!$B$4,0)-0.01</x:f>
        <x:v>9.99</x:v>
      </x:c>
      <x:c r="G193" s="30" t="n">
        <x:v>3300</x:v>
      </x:c>
      <x:c r="H193" s="31" t="n">
        <x:f>ROUNDUP(G193/'設定・注意'!$B$4,0)-0.01</x:f>
        <x:v>22.99</x:v>
      </x:c>
    </x:row>
    <x:row r="194">
      <x:c r="A194" s="29" t="str">
        <x:v>Oceania</x:v>
      </x:c>
      <x:c r="B194" s="29" t="str">
        <x:v>Wallis and Futuna</x:v>
      </x:c>
      <x:c r="C194" s="29" t="str">
        <x:v>JP-Z3</x:v>
      </x:c>
      <x:c r="D194" s="29" t="str">
        <x:v>日本郵便 国際エアパケット</x:v>
      </x:c>
      <x:c r="E194" s="30" t="n">
        <x:v>1400</x:v>
      </x:c>
      <x:c r="F194" s="31" t="n">
        <x:f>ROUNDUP(E194/'設定・注意'!$B$4,0)-0.01</x:f>
        <x:v>9.99</x:v>
      </x:c>
      <x:c r="G194" s="30" t="n">
        <x:v>3300</x:v>
      </x:c>
      <x:c r="H194" s="31" t="n">
        <x:f>ROUNDUP(G194/'設定・注意'!$B$4,0)-0.01</x:f>
        <x:v>22.99</x:v>
      </x:c>
    </x:row>
    <x:row r="195">
      <x:c r="A195" s="29" t="str">
        <x:v>Oceania</x:v>
      </x:c>
      <x:c r="B195" s="29" t="str">
        <x:v>Western Samoa</x:v>
      </x:c>
      <x:c r="C195" s="29" t="str">
        <x:v>JP-Z3</x:v>
      </x:c>
      <x:c r="D195" s="29" t="str">
        <x:v>日本郵便 国際エアパケット</x:v>
      </x:c>
      <x:c r="E195" s="30" t="n">
        <x:v>1400</x:v>
      </x:c>
      <x:c r="F195" s="31" t="n">
        <x:f>ROUNDUP(E195/'設定・注意'!$B$4,0)-0.01</x:f>
        <x:v>9.99</x:v>
      </x:c>
      <x:c r="G195" s="30" t="n">
        <x:v>3300</x:v>
      </x:c>
      <x:c r="H195" s="31" t="n">
        <x:f>ROUNDUP(G195/'設定・注意'!$B$4,0)-0.01</x:f>
        <x:v>22.99</x:v>
      </x:c>
    </x:row>
    <x:row r="196">
      <x:c r="A196" s="29" t="str">
        <x:v>South America</x:v>
      </x:c>
      <x:c r="B196" s="29" t="str">
        <x:v>Argentina</x:v>
      </x:c>
      <x:c r="C196" s="29" t="str">
        <x:v>JP-Z5</x:v>
      </x:c>
      <x:c r="D196" s="29" t="str">
        <x:v>日本郵便 国際エアパケット</x:v>
      </x:c>
      <x:c r="E196" s="30" t="n">
        <x:v>1500</x:v>
      </x:c>
      <x:c r="F196" s="31" t="n">
        <x:f>ROUNDUP(E196/'設定・注意'!$B$4,0)-0.01</x:f>
        <x:v>10.99</x:v>
      </x:c>
      <x:c r="G196" s="30" t="n">
        <x:v>4200</x:v>
      </x:c>
      <x:c r="H196" s="31" t="n">
        <x:f>ROUNDUP(G196/'設定・注意'!$B$4,0)-0.01</x:f>
        <x:v>28.99</x:v>
      </x:c>
    </x:row>
    <x:row r="197">
      <x:c r="A197" s="29" t="str">
        <x:v>South America</x:v>
      </x:c>
      <x:c r="B197" s="29" t="str">
        <x:v>Bolivia</x:v>
      </x:c>
      <x:c r="C197" s="29" t="str">
        <x:v>JP-Z5</x:v>
      </x:c>
      <x:c r="D197" s="29" t="str">
        <x:v>日本郵便 国際エアパケット</x:v>
      </x:c>
      <x:c r="E197" s="30" t="n">
        <x:v>1500</x:v>
      </x:c>
      <x:c r="F197" s="31" t="n">
        <x:f>ROUNDUP(E197/'設定・注意'!$B$4,0)-0.01</x:f>
        <x:v>10.99</x:v>
      </x:c>
      <x:c r="G197" s="30" t="n">
        <x:v>4200</x:v>
      </x:c>
      <x:c r="H197" s="31" t="n">
        <x:f>ROUNDUP(G197/'設定・注意'!$B$4,0)-0.01</x:f>
        <x:v>28.99</x:v>
      </x:c>
    </x:row>
    <x:row r="198">
      <x:c r="A198" s="29" t="str">
        <x:v>South America</x:v>
      </x:c>
      <x:c r="B198" s="29" t="str">
        <x:v>Brazil</x:v>
      </x:c>
      <x:c r="C198" s="29" t="str">
        <x:v>JP-Z5</x:v>
      </x:c>
      <x:c r="D198" s="29" t="str">
        <x:v>日本郵便 国際エアパケット</x:v>
      </x:c>
      <x:c r="E198" s="30" t="n">
        <x:v>1500</x:v>
      </x:c>
      <x:c r="F198" s="31" t="n">
        <x:f>ROUNDUP(E198/'設定・注意'!$B$4,0)-0.01</x:f>
        <x:v>10.99</x:v>
      </x:c>
      <x:c r="G198" s="30" t="n">
        <x:v>4200</x:v>
      </x:c>
      <x:c r="H198" s="31" t="n">
        <x:f>ROUNDUP(G198/'設定・注意'!$B$4,0)-0.01</x:f>
        <x:v>28.99</x:v>
      </x:c>
    </x:row>
    <x:row r="199">
      <x:c r="A199" s="29" t="str">
        <x:v>South America</x:v>
      </x:c>
      <x:c r="B199" s="29" t="str">
        <x:v>Chile</x:v>
      </x:c>
      <x:c r="C199" s="29" t="str">
        <x:v>JP-Z5</x:v>
      </x:c>
      <x:c r="D199" s="29" t="str">
        <x:v>日本郵便 国際エアパケット</x:v>
      </x:c>
      <x:c r="E199" s="30" t="n">
        <x:v>1500</x:v>
      </x:c>
      <x:c r="F199" s="31" t="n">
        <x:f>ROUNDUP(E199/'設定・注意'!$B$4,0)-0.01</x:f>
        <x:v>10.99</x:v>
      </x:c>
      <x:c r="G199" s="30" t="n">
        <x:v>4200</x:v>
      </x:c>
      <x:c r="H199" s="31" t="n">
        <x:f>ROUNDUP(G199/'設定・注意'!$B$4,0)-0.01</x:f>
        <x:v>28.99</x:v>
      </x:c>
    </x:row>
    <x:row r="200">
      <x:c r="A200" s="29" t="str">
        <x:v>South America</x:v>
      </x:c>
      <x:c r="B200" s="29" t="str">
        <x:v>Colombia</x:v>
      </x:c>
      <x:c r="C200" s="29" t="str">
        <x:v>JP-Z5</x:v>
      </x:c>
      <x:c r="D200" s="29" t="str">
        <x:v>日本郵便 国際エアパケット</x:v>
      </x:c>
      <x:c r="E200" s="30" t="n">
        <x:v>1500</x:v>
      </x:c>
      <x:c r="F200" s="31" t="n">
        <x:f>ROUNDUP(E200/'設定・注意'!$B$4,0)-0.01</x:f>
        <x:v>10.99</x:v>
      </x:c>
      <x:c r="G200" s="30" t="n">
        <x:v>4200</x:v>
      </x:c>
      <x:c r="H200" s="31" t="n">
        <x:f>ROUNDUP(G200/'設定・注意'!$B$4,0)-0.01</x:f>
        <x:v>28.99</x:v>
      </x:c>
    </x:row>
    <x:row r="201">
      <x:c r="A201" s="29" t="str">
        <x:v>South America</x:v>
      </x:c>
      <x:c r="B201" s="29" t="str">
        <x:v>Ecuador</x:v>
      </x:c>
      <x:c r="C201" s="29" t="str">
        <x:v>JP-Z5</x:v>
      </x:c>
      <x:c r="D201" s="29" t="str">
        <x:v>日本郵便 国際エアパケット</x:v>
      </x:c>
      <x:c r="E201" s="30" t="n">
        <x:v>1500</x:v>
      </x:c>
      <x:c r="F201" s="31" t="n">
        <x:f>ROUNDUP(E201/'設定・注意'!$B$4,0)-0.01</x:f>
        <x:v>10.99</x:v>
      </x:c>
      <x:c r="G201" s="30" t="n">
        <x:v>4200</x:v>
      </x:c>
      <x:c r="H201" s="31" t="n">
        <x:f>ROUNDUP(G201/'設定・注意'!$B$4,0)-0.01</x:f>
        <x:v>28.99</x:v>
      </x:c>
    </x:row>
    <x:row r="202">
      <x:c r="A202" s="29" t="str">
        <x:v>South America</x:v>
      </x:c>
      <x:c r="B202" s="29" t="str">
        <x:v>Falkland Islands (Islas Malvinas)</x:v>
      </x:c>
      <x:c r="C202" s="29" t="str">
        <x:v>JP-Z5</x:v>
      </x:c>
      <x:c r="D202" s="29" t="str">
        <x:v>日本郵便 国際エアパケット</x:v>
      </x:c>
      <x:c r="E202" s="30" t="n">
        <x:v>1500</x:v>
      </x:c>
      <x:c r="F202" s="31" t="n">
        <x:f>ROUNDUP(E202/'設定・注意'!$B$4,0)-0.01</x:f>
        <x:v>10.99</x:v>
      </x:c>
      <x:c r="G202" s="30" t="n">
        <x:v>4200</x:v>
      </x:c>
      <x:c r="H202" s="31" t="n">
        <x:f>ROUNDUP(G202/'設定・注意'!$B$4,0)-0.01</x:f>
        <x:v>28.99</x:v>
      </x:c>
    </x:row>
    <x:row r="203">
      <x:c r="A203" s="29" t="str">
        <x:v>South America</x:v>
      </x:c>
      <x:c r="B203" s="29" t="str">
        <x:v>French Guiana</x:v>
      </x:c>
      <x:c r="C203" s="29" t="str">
        <x:v>JP-Z5</x:v>
      </x:c>
      <x:c r="D203" s="29" t="str">
        <x:v>日本郵便 国際エアパケット</x:v>
      </x:c>
      <x:c r="E203" s="30" t="n">
        <x:v>1500</x:v>
      </x:c>
      <x:c r="F203" s="31" t="n">
        <x:f>ROUNDUP(E203/'設定・注意'!$B$4,0)-0.01</x:f>
        <x:v>10.99</x:v>
      </x:c>
      <x:c r="G203" s="30" t="n">
        <x:v>4200</x:v>
      </x:c>
      <x:c r="H203" s="31" t="n">
        <x:f>ROUNDUP(G203/'設定・注意'!$B$4,0)-0.01</x:f>
        <x:v>28.99</x:v>
      </x:c>
    </x:row>
    <x:row r="204">
      <x:c r="A204" s="29" t="str">
        <x:v>South America</x:v>
      </x:c>
      <x:c r="B204" s="29" t="str">
        <x:v>Guyana</x:v>
      </x:c>
      <x:c r="C204" s="29" t="str">
        <x:v>JP-Z5</x:v>
      </x:c>
      <x:c r="D204" s="29" t="str">
        <x:v>日本郵便 国際エアパケット</x:v>
      </x:c>
      <x:c r="E204" s="30" t="n">
        <x:v>1500</x:v>
      </x:c>
      <x:c r="F204" s="31" t="n">
        <x:f>ROUNDUP(E204/'設定・注意'!$B$4,0)-0.01</x:f>
        <x:v>10.99</x:v>
      </x:c>
      <x:c r="G204" s="30" t="n">
        <x:v>4200</x:v>
      </x:c>
      <x:c r="H204" s="31" t="n">
        <x:f>ROUNDUP(G204/'設定・注意'!$B$4,0)-0.01</x:f>
        <x:v>28.99</x:v>
      </x:c>
    </x:row>
    <x:row r="205">
      <x:c r="A205" s="29" t="str">
        <x:v>South America</x:v>
      </x:c>
      <x:c r="B205" s="29" t="str">
        <x:v>Paraguay</x:v>
      </x:c>
      <x:c r="C205" s="29" t="str">
        <x:v>JP-Z5</x:v>
      </x:c>
      <x:c r="D205" s="29" t="str">
        <x:v>日本郵便 国際エアパケット</x:v>
      </x:c>
      <x:c r="E205" s="30" t="n">
        <x:v>1500</x:v>
      </x:c>
      <x:c r="F205" s="31" t="n">
        <x:f>ROUNDUP(E205/'設定・注意'!$B$4,0)-0.01</x:f>
        <x:v>10.99</x:v>
      </x:c>
      <x:c r="G205" s="30" t="n">
        <x:v>4200</x:v>
      </x:c>
      <x:c r="H205" s="31" t="n">
        <x:f>ROUNDUP(G205/'設定・注意'!$B$4,0)-0.01</x:f>
        <x:v>28.99</x:v>
      </x:c>
    </x:row>
    <x:row r="206">
      <x:c r="A206" s="29" t="str">
        <x:v>South America</x:v>
      </x:c>
      <x:c r="B206" s="29" t="str">
        <x:v>Peru</x:v>
      </x:c>
      <x:c r="C206" s="29" t="str">
        <x:v>JP-Z5</x:v>
      </x:c>
      <x:c r="D206" s="29" t="str">
        <x:v>日本郵便 国際エアパケット</x:v>
      </x:c>
      <x:c r="E206" s="30" t="n">
        <x:v>1500</x:v>
      </x:c>
      <x:c r="F206" s="31" t="n">
        <x:f>ROUNDUP(E206/'設定・注意'!$B$4,0)-0.01</x:f>
        <x:v>10.99</x:v>
      </x:c>
      <x:c r="G206" s="30" t="n">
        <x:v>4200</x:v>
      </x:c>
      <x:c r="H206" s="31" t="n">
        <x:f>ROUNDUP(G206/'設定・注意'!$B$4,0)-0.01</x:f>
        <x:v>28.99</x:v>
      </x:c>
    </x:row>
    <x:row r="207">
      <x:c r="A207" s="29" t="str">
        <x:v>South America</x:v>
      </x:c>
      <x:c r="B207" s="29" t="str">
        <x:v>Suriname</x:v>
      </x:c>
      <x:c r="C207" s="29" t="str">
        <x:v>JP-Z5</x:v>
      </x:c>
      <x:c r="D207" s="29" t="str">
        <x:v>日本郵便 国際エアパケット</x:v>
      </x:c>
      <x:c r="E207" s="30" t="n">
        <x:v>1500</x:v>
      </x:c>
      <x:c r="F207" s="31" t="n">
        <x:f>ROUNDUP(E207/'設定・注意'!$B$4,0)-0.01</x:f>
        <x:v>10.99</x:v>
      </x:c>
      <x:c r="G207" s="30" t="n">
        <x:v>4200</x:v>
      </x:c>
      <x:c r="H207" s="31" t="n">
        <x:f>ROUNDUP(G207/'設定・注意'!$B$4,0)-0.01</x:f>
        <x:v>28.99</x:v>
      </x:c>
    </x:row>
    <x:row r="208">
      <x:c r="A208" s="29" t="str">
        <x:v>South America</x:v>
      </x:c>
      <x:c r="B208" s="29" t="str">
        <x:v>Uruguay</x:v>
      </x:c>
      <x:c r="C208" s="29" t="str">
        <x:v>JP-Z5</x:v>
      </x:c>
      <x:c r="D208" s="29" t="str">
        <x:v>日本郵便 国際エアパケット</x:v>
      </x:c>
      <x:c r="E208" s="30" t="n">
        <x:v>1500</x:v>
      </x:c>
      <x:c r="F208" s="31" t="n">
        <x:f>ROUNDUP(E208/'設定・注意'!$B$4,0)-0.01</x:f>
        <x:v>10.99</x:v>
      </x:c>
      <x:c r="G208" s="30" t="n">
        <x:v>4200</x:v>
      </x:c>
      <x:c r="H208" s="31" t="n">
        <x:f>ROUNDUP(G208/'設定・注意'!$B$4,0)-0.01</x:f>
        <x:v>28.99</x:v>
      </x:c>
    </x:row>
    <x:row r="209">
      <x:c r="A209" s="29" t="str">
        <x:v>South America</x:v>
      </x:c>
      <x:c r="B209" s="29" t="str">
        <x:v>Venezuela</x:v>
      </x:c>
      <x:c r="C209" s="29" t="str">
        <x:v>JP-Z5</x:v>
      </x:c>
      <x:c r="D209" s="29" t="str">
        <x:v>日本郵便 国際エアパケット</x:v>
      </x:c>
      <x:c r="E209" s="30" t="n">
        <x:v>1500</x:v>
      </x:c>
      <x:c r="F209" s="31" t="n">
        <x:f>ROUNDUP(E209/'設定・注意'!$B$4,0)-0.01</x:f>
        <x:v>10.99</x:v>
      </x:c>
      <x:c r="G209" s="30" t="n">
        <x:v>4200</x:v>
      </x:c>
      <x:c r="H209" s="31" t="n">
        <x:f>ROUNDUP(G209/'設定・注意'!$B$4,0)-0.01</x:f>
        <x:v>28.99</x:v>
      </x:c>
    </x:row>
    <x:row r="210">
      <x:c r="A210" s="29" t="str">
        <x:v>Southeast Asia</x:v>
      </x:c>
      <x:c r="B210" s="29" t="str">
        <x:v>Brunei Darussalam</x:v>
      </x:c>
      <x:c r="C210" s="29" t="str">
        <x:v>JP-Z2</x:v>
      </x:c>
      <x:c r="D210" s="29" t="str">
        <x:v>日本郵便 国際エアパケット</x:v>
      </x:c>
      <x:c r="E210" s="30" t="n">
        <x:v>1300</x:v>
      </x:c>
      <x:c r="F210" s="31" t="n">
        <x:f>ROUNDUP(E210/'設定・注意'!$B$4,0)-0.01</x:f>
        <x:v>8.99</x:v>
      </x:c>
      <x:c r="G210" s="30" t="n">
        <x:v>2600</x:v>
      </x:c>
      <x:c r="H210" s="31" t="n">
        <x:f>ROUNDUP(G210/'設定・注意'!$B$4,0)-0.01</x:f>
        <x:v>17.99</x:v>
      </x:c>
    </x:row>
    <x:row r="211">
      <x:c r="A211" s="29" t="str">
        <x:v>Southeast Asia</x:v>
      </x:c>
      <x:c r="B211" s="29" t="str">
        <x:v>Cambodia</x:v>
      </x:c>
      <x:c r="C211" s="29" t="str">
        <x:v>JP-Z2</x:v>
      </x:c>
      <x:c r="D211" s="29" t="str">
        <x:v>日本郵便 国際エアパケット</x:v>
      </x:c>
      <x:c r="E211" s="30" t="n">
        <x:v>1300</x:v>
      </x:c>
      <x:c r="F211" s="31" t="n">
        <x:f>ROUNDUP(E211/'設定・注意'!$B$4,0)-0.01</x:f>
        <x:v>8.99</x:v>
      </x:c>
      <x:c r="G211" s="30" t="n">
        <x:v>2600</x:v>
      </x:c>
      <x:c r="H211" s="31" t="n">
        <x:f>ROUNDUP(G211/'設定・注意'!$B$4,0)-0.01</x:f>
        <x:v>17.99</x:v>
      </x:c>
    </x:row>
    <x:row r="212">
      <x:c r="A212" s="29" t="str">
        <x:v>Southeast Asia</x:v>
      </x:c>
      <x:c r="B212" s="29" t="str">
        <x:v>Hong Kong</x:v>
      </x:c>
      <x:c r="C212" s="29" t="str">
        <x:v>JP-Z2</x:v>
      </x:c>
      <x:c r="D212" s="29" t="str">
        <x:v>日本郵便 国際エアパケット</x:v>
      </x:c>
      <x:c r="E212" s="30" t="n">
        <x:v>1300</x:v>
      </x:c>
      <x:c r="F212" s="31" t="n">
        <x:f>ROUNDUP(E212/'設定・注意'!$B$4,0)-0.01</x:f>
        <x:v>8.99</x:v>
      </x:c>
      <x:c r="G212" s="30" t="n">
        <x:v>2600</x:v>
      </x:c>
      <x:c r="H212" s="31" t="n">
        <x:f>ROUNDUP(G212/'設定・注意'!$B$4,0)-0.01</x:f>
        <x:v>17.99</x:v>
      </x:c>
    </x:row>
    <x:row r="213">
      <x:c r="A213" s="29" t="str">
        <x:v>Southeast Asia</x:v>
      </x:c>
      <x:c r="B213" s="29" t="str">
        <x:v>Indonesia</x:v>
      </x:c>
      <x:c r="C213" s="29" t="str">
        <x:v>JP-Z2</x:v>
      </x:c>
      <x:c r="D213" s="29" t="str">
        <x:v>日本郵便 国際エアパケット</x:v>
      </x:c>
      <x:c r="E213" s="30" t="n">
        <x:v>1300</x:v>
      </x:c>
      <x:c r="F213" s="31" t="n">
        <x:f>ROUNDUP(E213/'設定・注意'!$B$4,0)-0.01</x:f>
        <x:v>8.99</x:v>
      </x:c>
      <x:c r="G213" s="30" t="n">
        <x:v>2600</x:v>
      </x:c>
      <x:c r="H213" s="31" t="n">
        <x:f>ROUNDUP(G213/'設定・注意'!$B$4,0)-0.01</x:f>
        <x:v>17.99</x:v>
      </x:c>
    </x:row>
    <x:row r="214">
      <x:c r="A214" s="29" t="str">
        <x:v>Southeast Asia</x:v>
      </x:c>
      <x:c r="B214" s="29" t="str">
        <x:v>Laos</x:v>
      </x:c>
      <x:c r="C214" s="29" t="str">
        <x:v>JP-Z2</x:v>
      </x:c>
      <x:c r="D214" s="29" t="str">
        <x:v>日本郵便 国際エアパケット</x:v>
      </x:c>
      <x:c r="E214" s="30" t="n">
        <x:v>1300</x:v>
      </x:c>
      <x:c r="F214" s="31" t="n">
        <x:f>ROUNDUP(E214/'設定・注意'!$B$4,0)-0.01</x:f>
        <x:v>8.99</x:v>
      </x:c>
      <x:c r="G214" s="30" t="n">
        <x:v>2600</x:v>
      </x:c>
      <x:c r="H214" s="31" t="n">
        <x:f>ROUNDUP(G214/'設定・注意'!$B$4,0)-0.01</x:f>
        <x:v>17.99</x:v>
      </x:c>
    </x:row>
    <x:row r="215">
      <x:c r="A215" s="29" t="str">
        <x:v>Southeast Asia</x:v>
      </x:c>
      <x:c r="B215" s="29" t="str">
        <x:v>Macau</x:v>
      </x:c>
      <x:c r="C215" s="29" t="str">
        <x:v>JP-Z2</x:v>
      </x:c>
      <x:c r="D215" s="29" t="str">
        <x:v>日本郵便 国際エアパケット</x:v>
      </x:c>
      <x:c r="E215" s="30" t="n">
        <x:v>1300</x:v>
      </x:c>
      <x:c r="F215" s="31" t="n">
        <x:f>ROUNDUP(E215/'設定・注意'!$B$4,0)-0.01</x:f>
        <x:v>8.99</x:v>
      </x:c>
      <x:c r="G215" s="30" t="n">
        <x:v>2600</x:v>
      </x:c>
      <x:c r="H215" s="31" t="n">
        <x:f>ROUNDUP(G215/'設定・注意'!$B$4,0)-0.01</x:f>
        <x:v>17.99</x:v>
      </x:c>
    </x:row>
    <x:row r="216">
      <x:c r="A216" s="29" t="str">
        <x:v>Southeast Asia</x:v>
      </x:c>
      <x:c r="B216" s="29" t="str">
        <x:v>Malaysia</x:v>
      </x:c>
      <x:c r="C216" s="29" t="str">
        <x:v>JP-Z2</x:v>
      </x:c>
      <x:c r="D216" s="29" t="str">
        <x:v>日本郵便 国際エアパケット</x:v>
      </x:c>
      <x:c r="E216" s="30" t="n">
        <x:v>1300</x:v>
      </x:c>
      <x:c r="F216" s="31" t="n">
        <x:f>ROUNDUP(E216/'設定・注意'!$B$4,0)-0.01</x:f>
        <x:v>8.99</x:v>
      </x:c>
      <x:c r="G216" s="30" t="n">
        <x:v>2600</x:v>
      </x:c>
      <x:c r="H216" s="31" t="n">
        <x:f>ROUNDUP(G216/'設定・注意'!$B$4,0)-0.01</x:f>
        <x:v>17.99</x:v>
      </x:c>
    </x:row>
    <x:row r="217">
      <x:c r="A217" s="29" t="str">
        <x:v>Southeast Asia</x:v>
      </x:c>
      <x:c r="B217" s="29" t="str">
        <x:v>Philippines</x:v>
      </x:c>
      <x:c r="C217" s="29" t="str">
        <x:v>JP-Z2</x:v>
      </x:c>
      <x:c r="D217" s="29" t="str">
        <x:v>日本郵便 国際エアパケット</x:v>
      </x:c>
      <x:c r="E217" s="30" t="n">
        <x:v>1300</x:v>
      </x:c>
      <x:c r="F217" s="31" t="n">
        <x:f>ROUNDUP(E217/'設定・注意'!$B$4,0)-0.01</x:f>
        <x:v>8.99</x:v>
      </x:c>
      <x:c r="G217" s="30" t="n">
        <x:v>2600</x:v>
      </x:c>
      <x:c r="H217" s="31" t="n">
        <x:f>ROUNDUP(G217/'設定・注意'!$B$4,0)-0.01</x:f>
        <x:v>17.99</x:v>
      </x:c>
    </x:row>
    <x:row r="218">
      <x:c r="A218" s="29" t="str">
        <x:v>Southeast Asia</x:v>
      </x:c>
      <x:c r="B218" s="29" t="str">
        <x:v>Singapore</x:v>
      </x:c>
      <x:c r="C218" s="29" t="str">
        <x:v>JP-Z2</x:v>
      </x:c>
      <x:c r="D218" s="29" t="str">
        <x:v>日本郵便 国際エアパケット</x:v>
      </x:c>
      <x:c r="E218" s="30" t="n">
        <x:v>1300</x:v>
      </x:c>
      <x:c r="F218" s="31" t="n">
        <x:f>ROUNDUP(E218/'設定・注意'!$B$4,0)-0.01</x:f>
        <x:v>8.99</x:v>
      </x:c>
      <x:c r="G218" s="30" t="n">
        <x:v>2600</x:v>
      </x:c>
      <x:c r="H218" s="31" t="n">
        <x:f>ROUNDUP(G218/'設定・注意'!$B$4,0)-0.01</x:f>
        <x:v>17.99</x:v>
      </x:c>
    </x:row>
    <x:row r="219">
      <x:c r="A219" s="29" t="str">
        <x:v>Southeast Asia</x:v>
      </x:c>
      <x:c r="B219" s="29" t="str">
        <x:v>Taiwan</x:v>
      </x:c>
      <x:c r="C219" s="29" t="str">
        <x:v>JP-Z1</x:v>
      </x:c>
      <x:c r="D219" s="29" t="str">
        <x:v>日本郵便 国際エアパケット</x:v>
      </x:c>
      <x:c r="E219" s="30" t="n">
        <x:v>1200</x:v>
      </x:c>
      <x:c r="F219" s="31" t="n">
        <x:f>ROUNDUP(E219/'設定・注意'!$B$4,0)-0.01</x:f>
        <x:v>8.99</x:v>
      </x:c>
      <x:c r="G219" s="30" t="n">
        <x:v>2300</x:v>
      </x:c>
      <x:c r="H219" s="31" t="n">
        <x:f>ROUNDUP(G219/'設定・注意'!$B$4,0)-0.01</x:f>
        <x:v>15.99</x:v>
      </x:c>
    </x:row>
    <x:row r="220">
      <x:c r="A220" s="29" t="str">
        <x:v>Southeast Asia</x:v>
      </x:c>
      <x:c r="B220" s="29" t="str">
        <x:v>Thailand</x:v>
      </x:c>
      <x:c r="C220" s="29" t="str">
        <x:v>JP-Z2</x:v>
      </x:c>
      <x:c r="D220" s="29" t="str">
        <x:v>日本郵便 国際エアパケット</x:v>
      </x:c>
      <x:c r="E220" s="30" t="n">
        <x:v>1300</x:v>
      </x:c>
      <x:c r="F220" s="31" t="n">
        <x:f>ROUNDUP(E220/'設定・注意'!$B$4,0)-0.01</x:f>
        <x:v>8.99</x:v>
      </x:c>
      <x:c r="G220" s="30" t="n">
        <x:v>2600</x:v>
      </x:c>
      <x:c r="H220" s="31" t="n">
        <x:f>ROUNDUP(G220/'設定・注意'!$B$4,0)-0.01</x:f>
        <x:v>17.99</x:v>
      </x:c>
    </x:row>
    <x:row r="221">
      <x:c r="A221" s="29" t="str">
        <x:v>Southeast Asia</x:v>
      </x:c>
      <x:c r="B221" s="29" t="str">
        <x:v>Vietnam</x:v>
      </x:c>
      <x:c r="C221" s="29" t="str">
        <x:v>JP-Z2</x:v>
      </x:c>
      <x:c r="D221" s="29" t="str">
        <x:v>日本郵便 国際エアパケット</x:v>
      </x:c>
      <x:c r="E221" s="30" t="n">
        <x:v>1300</x:v>
      </x:c>
      <x:c r="F221" s="31" t="n">
        <x:f>ROUNDUP(E221/'設定・注意'!$B$4,0)-0.01</x:f>
        <x:v>8.99</x:v>
      </x:c>
      <x:c r="G221" s="30" t="n">
        <x:v>2600</x:v>
      </x:c>
      <x:c r="H221" s="31" t="n">
        <x:f>ROUNDUP(G221/'設定・注意'!$B$4,0)-0.01</x:f>
        <x:v>17.99</x:v>
      </x:c>
    </x:row>
  </x:sheetData>
  <x:mergeCells>
    <x:mergeCell ref="A1:H1"/>
  </x:mergeCells>
  <x:pageMargins left="0.7" right="0.7" top="0.75" bottom="0.75" header="0.3" footer="0.3"/>
  <x:tableParts count="1">
    <x:tablePart xmlns:r="http://schemas.openxmlformats.org/officeDocument/2006/relationships" r:id="R153bb2a61cb04298"/>
  </x:tableParts>
</x:worksheet>
</file>

<file path=xl/worksheets/sheet4.xml><?xml version="1.0" encoding="utf-8"?>
<x:worksheet xmlns:x="http://schemas.openxmlformats.org/spreadsheetml/2006/main">
  <x:sheetFormatPr defaultRowHeight="15"/>
  <x:cols>
    <x:col min="1" max="1" width="14" hidden="0" customWidth="1"/>
    <x:col min="2" max="2" width="24" hidden="0" customWidth="1"/>
    <x:col min="3" max="3" width="14" hidden="0" customWidth="1"/>
    <x:col min="4" max="4" width="14" hidden="0" customWidth="1"/>
    <x:col min="5" max="5" width="16" hidden="0" customWidth="1"/>
    <x:col min="6" max="6" width="14" hidden="0" customWidth="1"/>
  </x:cols>
  <x:sheetData>
    <x:row r="1">
      <x:c r="A1" s="5" t="str">
        <x:v>既存出品の移行対応</x:v>
      </x:c>
      <x:c r="B1" s="5"/>
      <x:c r="C1" s="5"/>
      <x:c r="D1" s="5"/>
      <x:c r="E1" s="5"/>
      <x:c r="F1" s="5"/>
    </x:row>
    <x:row r="3">
      <x:c r="A3" s="13" t="str">
        <x:v>旧重量区分</x:v>
      </x:c>
      <x:c r="B3" s="13" t="str">
        <x:v>新配送ポリシー</x:v>
      </x:c>
      <x:c r="C3" s="13" t="str">
        <x:v>移行前件数</x:v>
      </x:c>
      <x:c r="D3" s="13" t="str">
        <x:v>移行後件数</x:v>
      </x:c>
      <x:c r="E3" s="13" t="str">
        <x:v>旧ポリシー利用数</x:v>
      </x:c>
      <x:c r="F3" s="13" t="str">
        <x:v>状態</x:v>
      </x:c>
    </x:row>
    <x:row r="4">
      <x:c r="A4" t="str">
        <x:v>100g</x:v>
      </x:c>
      <x:c r="B4" t="str">
        <x:v>CAM0100G-V3</x:v>
      </x:c>
      <x:c r="C4"/>
      <x:c r="D4"/>
      <x:c r="E4"/>
      <x:c r="F4" t="str">
        <x:v>未実施</x:v>
      </x:c>
    </x:row>
    <x:row r="5">
      <x:c r="A5" t="str">
        <x:v>200g</x:v>
      </x:c>
      <x:c r="B5" t="str">
        <x:v>CAM0200G-V3</x:v>
      </x:c>
      <x:c r="C5"/>
      <x:c r="D5"/>
      <x:c r="E5"/>
      <x:c r="F5" t="str">
        <x:v>未実施</x:v>
      </x:c>
    </x:row>
    <x:row r="6">
      <x:c r="A6" t="str">
        <x:v>300g</x:v>
      </x:c>
      <x:c r="B6" t="str">
        <x:v>CAM0300G-V3</x:v>
      </x:c>
      <x:c r="C6"/>
      <x:c r="D6"/>
      <x:c r="E6"/>
      <x:c r="F6" t="str">
        <x:v>未実施</x:v>
      </x:c>
    </x:row>
    <x:row r="7">
      <x:c r="A7" t="str">
        <x:v>400g</x:v>
      </x:c>
      <x:c r="B7" t="str">
        <x:v>CAM0400G-V3</x:v>
      </x:c>
      <x:c r="C7"/>
      <x:c r="D7"/>
      <x:c r="E7"/>
      <x:c r="F7" t="str">
        <x:v>未実施</x:v>
      </x:c>
    </x:row>
    <x:row r="8">
      <x:c r="A8" t="str">
        <x:v>500g</x:v>
      </x:c>
      <x:c r="B8" t="str">
        <x:v>CAM0500G-V3</x:v>
      </x:c>
      <x:c r="C8"/>
      <x:c r="D8"/>
      <x:c r="E8"/>
      <x:c r="F8" t="str">
        <x:v>未実施</x:v>
      </x:c>
    </x:row>
    <x:row r="9">
      <x:c r="A9" t="str">
        <x:v>600g</x:v>
      </x:c>
      <x:c r="B9" t="str">
        <x:v>CAM0600G-V3</x:v>
      </x:c>
      <x:c r="C9"/>
      <x:c r="D9"/>
      <x:c r="E9"/>
      <x:c r="F9" t="str">
        <x:v>未実施</x:v>
      </x:c>
    </x:row>
    <x:row r="10">
      <x:c r="A10" t="str">
        <x:v>700g</x:v>
      </x:c>
      <x:c r="B10" t="str">
        <x:v>CAM0700G-V3</x:v>
      </x:c>
      <x:c r="C10"/>
      <x:c r="D10"/>
      <x:c r="E10"/>
      <x:c r="F10" t="str">
        <x:v>未実施</x:v>
      </x:c>
    </x:row>
    <x:row r="11">
      <x:c r="A11" t="str">
        <x:v>800g</x:v>
      </x:c>
      <x:c r="B11" t="str">
        <x:v>CAM0800G-V3</x:v>
      </x:c>
      <x:c r="C11"/>
      <x:c r="D11"/>
      <x:c r="E11"/>
      <x:c r="F11" t="str">
        <x:v>未実施</x:v>
      </x:c>
    </x:row>
    <x:row r="12">
      <x:c r="A12" t="str">
        <x:v>900g</x:v>
      </x:c>
      <x:c r="B12" t="str">
        <x:v>CAM0900G-V3</x:v>
      </x:c>
      <x:c r="C12"/>
      <x:c r="D12"/>
      <x:c r="E12"/>
      <x:c r="F12" t="str">
        <x:v>未実施</x:v>
      </x:c>
    </x:row>
    <x:row r="13">
      <x:c r="A13" t="str">
        <x:v>1000g</x:v>
      </x:c>
      <x:c r="B13" t="str">
        <x:v>CAM1000G-V3</x:v>
      </x:c>
      <x:c r="C13"/>
      <x:c r="D13"/>
      <x:c r="E13"/>
      <x:c r="F13" t="str">
        <x:v>未実施</x:v>
      </x:c>
    </x:row>
  </x:sheetData>
  <x:mergeCells>
    <x:mergeCell ref="A1:F1"/>
  </x:mergeCells>
  <x:pageMargins left="0.7" right="0.7" top="0.75" bottom="0.75" header="0.3" footer="0.3"/>
  <x:tableParts count="1">
    <x:tablePart xmlns:r="http://schemas.openxmlformats.org/officeDocument/2006/relationships" r:id="R1c487331db64473e"/>
  </x:tableParts>
</x:worksheet>
</file>

<file path=xl/worksheets/sheet5.xml><?xml version="1.0" encoding="utf-8"?>
<x:worksheet xmlns:x="http://schemas.openxmlformats.org/spreadsheetml/2006/main">
  <x:sheetFormatPr defaultRowHeight="15"/>
  <x:cols>
    <x:col min="1" max="1" width="28" hidden="0" customWidth="1"/>
    <x:col min="2" max="2" width="62" hidden="0" customWidth="1"/>
    <x:col min="3" max="3" width="28" hidden="0" customWidth="1"/>
    <x:col min="4" max="4" width="42" hidden="0" customWidth="1"/>
  </x:cols>
  <x:sheetData>
    <x:row r="1">
      <x:c r="A1" s="20" t="str">
        <x:v>eBay送料テーブル作成専用設定</x:v>
      </x:c>
      <x:c r="B1" s="20"/>
      <x:c r="C1" s="20"/>
      <x:c r="D1" s="20"/>
    </x:row>
    <x:row r="3">
      <x:c r="A3" s="13" t="str">
        <x:v>項目</x:v>
      </x:c>
      <x:c r="B3" s="13" t="str">
        <x:v>設定値</x:v>
      </x:c>
      <x:c r="C3" s="13" t="str">
        <x:v>用途</x:v>
      </x:c>
      <x:c r="D3" s="13" t="str">
        <x:v>変更時の影響</x:v>
      </x:c>
    </x:row>
    <x:row r="4">
      <x:c r="A4" t="str">
        <x:v>円→ドル換算レート</x:v>
      </x:c>
      <x:c r="B4" s="18" t="n">
        <x:v>145</x:v>
      </x:c>
      <x:c r="C4" t="str">
        <x:v>円額 ÷ この値</x:v>
      </x:c>
      <x:c r="D4" t="str">
        <x:v>すべてのドル額が自動更新</x:v>
      </x:c>
    </x:row>
    <x:row r="5">
      <x:c r="A5" t="str">
        <x:v>ドル端数処理</x:v>
      </x:c>
      <x:c r="B5" t="str">
        <x:v>次の$0.99へ切り上げ</x:v>
      </x:c>
      <x:c r="C5" t="str">
        <x:v>例：9.66→9.99</x:v>
      </x:c>
      <x:c r="D5" t="str">
        <x:v>固定</x:v>
      </x:c>
    </x:row>
    <x:row r="6">
      <x:c r="A6" t="str">
        <x:v>発送準備期間</x:v>
      </x:c>
      <x:c r="B6" t="n">
        <x:v>3</x:v>
      </x:c>
      <x:c r="C6" t="str">
        <x:v>business days</x:v>
      </x:c>
      <x:c r="D6" t="str">
        <x:v>全ポリシー共通</x:v>
      </x:c>
    </x:row>
    <x:row r="7">
      <x:c r="A7" t="str">
        <x:v>国内配送サービス</x:v>
      </x:c>
      <x:c r="B7" t="str">
        <x:v>eBay SpeedPAK Economy</x:v>
      </x:c>
      <x:c r="C7" t="str">
        <x:v>米国向け</x:v>
      </x:c>
      <x:c r="D7" t="str">
        <x:v>直接入力</x:v>
      </x:c>
    </x:row>
    <x:row r="8">
      <x:c r="A8" t="str">
        <x:v>国際SPK対象</x:v>
      </x:c>
      <x:c r="B8" t="str">
        <x:v>United Kingdom / Germany / Australia</x:v>
      </x:c>
      <x:c r="C8" t="str">
        <x:v>3か国のみ</x:v>
      </x:c>
      <x:c r="D8" t="str">
        <x:v>国際料金表で個別行</x:v>
      </x:c>
    </x:row>
    <x:row r="9">
      <x:c r="A9" t="str">
        <x:v>その他の配送</x:v>
      </x:c>
      <x:c r="B9" t="str">
        <x:v>Economy International Shipping</x:v>
      </x:c>
      <x:c r="C9" t="str">
        <x:v>実発送は日本郵便 国際エアパケット</x:v>
      </x:c>
      <x:c r="D9" t="str">
        <x:v>国際料金表で地帯別</x:v>
      </x:c>
    </x:row>
    <x:row r="10">
      <x:c r="A10" t="str">
        <x:v>日本国内</x:v>
      </x:c>
      <x:c r="B10" t="str">
        <x:v>対象外</x:v>
      </x:c>
      <x:c r="C10" t="str">
        <x:v>Japanは選択しない</x:v>
      </x:c>
      <x:c r="D10" t="str">
        <x:v>国内取引は別対応</x:v>
      </x:c>
    </x:row>
    <x:row r="12">
      <x:c r="A12" s="28" t="str">
        <x:v>重要事項</x:v>
      </x:c>
      <x:c r="B12" s="28" t="str">
        <x:v>内容</x:v>
      </x:c>
      <x:c r="C12" s="28" t="str"/>
      <x:c r="D12" s="28" t="str"/>
    </x:row>
    <x:row r="13">
      <x:c r="A13" s="29" t="str">
        <x:v>料金の正本</x:v>
      </x:c>
      <x:c r="B13" s="29" t="str">
        <x:v>このブックの円額。ドル額は設定レートから自動計算。</x:v>
      </x:c>
      <x:c r="C13" s="29" t="str"/>
      <x:c r="D13" s="29" t="str"/>
    </x:row>
    <x:row r="14">
      <x:c r="A14" s="29" t="str">
        <x:v>アメリカ</x:v>
      </x:c>
      <x:c r="B14" s="29" t="str">
        <x:v>国際料金テーブルに入れず、配送ポリシーの国内配送へ直接入力。</x:v>
      </x:c>
      <x:c r="C14" s="29" t="str"/>
      <x:c r="D14" s="29" t="str"/>
    </x:row>
    <x:row r="15">
      <x:c r="A15" s="29" t="str">
        <x:v>国際配送</x:v>
      </x:c>
      <x:c r="B15" s="29" t="str">
        <x:v>英国・ドイツ・豪州はSpeedPAK Economy、それ以外は日本郵便。</x:v>
      </x:c>
      <x:c r="C15" s="29" t="str"/>
      <x:c r="D15" s="29" t="str"/>
    </x:row>
    <x:row r="16">
      <x:c r="A16" s="29" t="str">
        <x:v>国際基本料金</x:v>
      </x:c>
      <x:c r="B16" s="29" t="str">
        <x:v>操作サマリーの最大額を入力し、国別料金は料金テーブルで上書き。</x:v>
      </x:c>
      <x:c r="C16" s="29" t="str"/>
      <x:c r="D16" s="29" t="str"/>
    </x:row>
    <x:row r="17">
      <x:c r="A17" s="29" t="str">
        <x:v>旧設定</x:v>
      </x:c>
      <x:c r="B17" s="29" t="str">
        <x:v>新設定・出品移行が完了するまで編集・削除しない。</x:v>
      </x:c>
      <x:c r="C17" s="29" t="str"/>
      <x:c r="D17" s="29" t="str"/>
    </x:row>
    <x:row r="18">
      <x:c r="A18" s="29" t="str">
        <x:v>削除</x:v>
      </x:c>
      <x:c r="B18" s="29" t="str">
        <x:v>旧配送ポリシー利用数0を確認後に削除。旧料金テーブルは削除可能な場合のみ。</x:v>
      </x:c>
      <x:c r="C18" s="29" t="str"/>
      <x:c r="D18" s="29" t="str"/>
    </x:row>
    <x:row r="19">
      <x:c r="A19" s="29" t="str">
        <x:v>発送可否</x:v>
      </x:c>
      <x:c r="B19" s="29" t="str">
        <x:v>日本郵便の引受停止国は実作業時に除外する。</x:v>
      </x:c>
      <x:c r="C19" s="29" t="str"/>
      <x:c r="D19" s="29" t="str"/>
    </x:row>
    <x:row r="20">
      <x:c r="A20" s="29" t="str">
        <x:v>公式確認</x:v>
      </x:c>
      <x:c r="B20" s="29" t="str">
        <x:v>https://www.post.japanpost.jp/service/send/oversea/information/overview.html</x:v>
      </x:c>
      <x:c r="C20" s="29" t="str"/>
      <x:c r="D20" s="29" t="str"/>
    </x:row>
    <x:row r="22">
      <x:c r="A22" s="42" t="str">
        <x:v>今回の最終構成</x:v>
      </x:c>
      <x:c r="B22" s="42"/>
      <x:c r="C22" s="42"/>
      <x:c r="D22" s="42"/>
    </x:row>
    <x:row r="23">
      <x:c r="A23" s="47" t="str">
        <x:v>項目</x:v>
      </x:c>
      <x:c r="B23" s="47" t="str">
        <x:v>内容</x:v>
      </x:c>
      <x:c r="C23" s="47" t="str">
        <x:v>作成数</x:v>
      </x:c>
      <x:c r="D23" s="47" t="str">
        <x:v>備考</x:v>
      </x:c>
    </x:row>
    <x:row r="24">
      <x:c r="A24" s="29" t="str">
        <x:v>配送ポリシー</x:v>
      </x:c>
      <x:c r="B24" s="29" t="str">
        <x:v>SpeedPAK用と日本郵便用に分けず、重量ごとに1個</x:v>
      </x:c>
      <x:c r="C24" s="29" t="str">
        <x:v>10</x:v>
      </x:c>
      <x:c r="D24" s="29" t="str">
        <x:v>100g～1000g</x:v>
      </x:c>
    </x:row>
    <x:row r="25">
      <x:c r="A25" s="29" t="str">
        <x:v>国内配送</x:v>
      </x:c>
      <x:c r="B25" s="29" t="str">
        <x:v>米国向け eBay SpeedPAK Economy を直接入力</x:v>
      </x:c>
      <x:c r="C25" s="29" t="str">
        <x:v>各ポリシー内</x:v>
      </x:c>
      <x:c r="D25" s="29" t="str">
        <x:v>米国用送料テーブルは新規作成しない</x:v>
      </x:c>
    </x:row>
    <x:row r="26">
      <x:c r="A26" s="29" t="str">
        <x:v>国際配送</x:v>
      </x:c>
      <x:c r="B26" s="29" t="str">
        <x:v>同じ重量の国際送料テーブルを1個紐付け</x:v>
      </x:c>
      <x:c r="C26" s="29" t="str">
        <x:v>10</x:v>
      </x:c>
      <x:c r="D26" s="29" t="str">
        <x:v>英国・ドイツ・豪州＋日本郵便を同一テーブル内で区分</x:v>
      </x:c>
    </x:row>
    <x:row r="27">
      <x:c r="A27" s="29" t="str">
        <x:v>英国・ドイツ・豪州</x:v>
      </x:c>
      <x:c r="B27" s="29" t="str">
        <x:v>国際料金テーブル内で個別行にしてSpeedPAK Economy</x:v>
      </x:c>
      <x:c r="C27" s="29" t="str">
        <x:v>3行/重量</x:v>
      </x:c>
      <x:c r="D27" s="29" t="str">
        <x:v>他国と混ぜない</x:v>
      </x:c>
    </x:row>
    <x:row r="28">
      <x:c r="A28" s="29" t="str">
        <x:v>その他の国</x:v>
      </x:c>
      <x:c r="B28" s="29" t="str">
        <x:v>日本郵便 国際エアパケット相当のEconomy International Shipping</x:v>
      </x:c>
      <x:c r="C28" s="29" t="str">
        <x:v>地帯別/重量</x:v>
      </x:c>
      <x:c r="D28" s="29" t="str">
        <x:v>Excelの国リストを使用</x:v>
      </x:c>
    </x:row>
    <x:row r="29">
      <x:c r="A29" s="29" t="str">
        <x:v>既存出品</x:v>
      </x:c>
      <x:c r="B29" s="29" t="str">
        <x:v>旧ポリシーの重量区分を維持し、同重量の新ポリシーへ移行</x:v>
      </x:c>
      <x:c r="C29" s="29" t="str">
        <x:v>全対象</x:v>
      </x:c>
      <x:c r="D29" s="29" t="str">
        <x:v>商品情報は変更しない</x:v>
      </x:c>
    </x:row>
    <x:row r="30">
      <x:c r="A30" s="29" t="str">
        <x:v>旧設定</x:v>
      </x:c>
      <x:c r="B30" s="29" t="str">
        <x:v>移行完了後、利用数0を確認して削除</x:v>
      </x:c>
      <x:c r="C30" s="29" t="str">
        <x:v>削除可能分のみ</x:v>
      </x:c>
      <x:c r="D30" s="29" t="str">
        <x:v>移行前は削除・編集しない</x:v>
      </x:c>
    </x:row>
    <x:row r="32">
      <x:c r="A32" s="50" t="str">
        <x:v>旧送料テーブル一覧（今回の新規作成では使用しない）</x:v>
      </x:c>
      <x:c r="B32" s="50"/>
      <x:c r="C32" s="50"/>
      <x:c r="D32" s="50"/>
    </x:row>
    <x:row r="33">
      <x:c r="A33" s="54" t="str">
        <x:v>区分</x:v>
      </x:c>
      <x:c r="B33" s="54" t="str">
        <x:v>旧テーブル名</x:v>
      </x:c>
      <x:c r="C33" s="54" t="str">
        <x:v>扱い</x:v>
      </x:c>
      <x:c r="D33" s="54" t="str">
        <x:v>削除条件</x:v>
      </x:c>
    </x:row>
    <x:row r="34" ht="110" customHeight="1">
      <x:c r="A34" s="29" t="str">
        <x:v>旧国際送料テーブル</x:v>
      </x:c>
      <x:c r="B34" s="29" t="str">
        <x:v>INT0300G
INT0500G
INT0800G
INT1000G
INT1500G
INT2000G
INT0300G-EUFIX
INT0500G-EUFIX
INT0800G-EUFIX
INT1000G-EUFIX
INT1500G-EUFIX
INT2000G-EUFIX
INT-AP-0100G-V2
INT-AP-0200G-V2
INT-AP-0300G-V2
INT-AP-0400G-V2
INT-AP-0500G-V2
INT-AP-0600G-V2
INT-AP-0700G-V2
INT-AP-0800G-V2
INT-AP-0900G-V2
INT-AP-1000G-V2
INT-AP-1100G-V2
INT-AP-1200G-V2
INT-AP-1300G-V2
INT-AP-1400G-V2
INT-AP-1500G-V2
INT-AP-1600G-V2
INT-AP-1700G-V2
INT-AP-1800G-V2
INT-AP-1900G-V2
INT-AP-2000G-V2</x:v>
      </x:c>
      <x:c r="C34" s="29" t="str">
        <x:v>新規作成では無視・流用禁止</x:v>
      </x:c>
      <x:c r="D34" s="29" t="str">
        <x:v>新ポリシー移行後、未参照で削除可能な場合のみ</x:v>
      </x:c>
    </x:row>
    <x:row r="35" ht="110" customHeight="1">
      <x:c r="A35" s="29" t="str">
        <x:v>旧米国送料テーブル</x:v>
      </x:c>
      <x:c r="B35" s="29" t="str">
        <x:v>US-0300-V100
US-0500-V100
US-0800-V100
米国 300g以下 商品100USD以下
米国 500g以下 商品100USD以下
US0800G100USD
US1000G100USD
US1500G100USD
US2000G100USD
US0300G101250USD
US0500G101250USD
US0800G101250USD
US1000G101250USD
US1500G101250USD
US2000G101250USD</x:v>
      </x:c>
      <x:c r="C35" s="29" t="str">
        <x:v>今回の米国送料は国内配送欄へ直接入力</x:v>
      </x:c>
      <x:c r="D35" s="29" t="str">
        <x:v>未参照で削除可能な場合のみ</x:v>
      </x:c>
    </x:row>
  </x:sheetData>
  <x:mergeCells>
    <x:mergeCell ref="A1:D1"/>
    <x:mergeCell ref="A22:D22"/>
    <x:mergeCell ref="A32:D32"/>
  </x:mergeCells>
  <x:pageMargins left="0.7" right="0.7" top="0.75" bottom="0.75" header="0.3" footer="0.3"/>
</x:worksheet>
</file>